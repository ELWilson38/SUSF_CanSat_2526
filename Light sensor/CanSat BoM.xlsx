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cnd1u25_soton_ac_uk/Documents/"/>
    </mc:Choice>
  </mc:AlternateContent>
  <xr:revisionPtr revIDLastSave="98" documentId="11_E60897F41BE170836B02CE998F75CCDC64E183C8" xr6:coauthVersionLast="47" xr6:coauthVersionMax="47" xr10:uidLastSave="{C47A97CB-8861-4EE5-A411-D1452E17C5BA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3" i="1"/>
  <c r="F9" i="1" s="1"/>
  <c r="F4" i="1"/>
  <c r="F5" i="1"/>
</calcChain>
</file>

<file path=xl/sharedStrings.xml><?xml version="1.0" encoding="utf-8"?>
<sst xmlns="http://schemas.openxmlformats.org/spreadsheetml/2006/main" count="50" uniqueCount="50">
  <si>
    <t>Name</t>
  </si>
  <si>
    <t>Component type</t>
  </si>
  <si>
    <t>Quantity</t>
  </si>
  <si>
    <t>Price</t>
  </si>
  <si>
    <t>Total</t>
  </si>
  <si>
    <t>Link</t>
  </si>
  <si>
    <t>MCP6004-I/SL</t>
  </si>
  <si>
    <t>Op amp</t>
  </si>
  <si>
    <t>https://uk.farnell.com/microchip/mcp6004-i-sl/op-amp-quad-1-8v-1mhz-14soic/dp/1605572</t>
  </si>
  <si>
    <t>WP7113PD1BT/BD-P22</t>
  </si>
  <si>
    <t>IR photodiode</t>
  </si>
  <si>
    <t>https://www.digikey.co.uk/en/products/detail/kingbright/WP7113PD1BT-BD-P22/8591567</t>
  </si>
  <si>
    <t>SD019-141-411-R</t>
  </si>
  <si>
    <t>Red photodiode</t>
  </si>
  <si>
    <t>https://www.mouser.co.uk/ProductDetail/Advanced-Photonix/SD019-141-411-R?qs=amGC7iS6iy%252Bn%252Bre4ZJENsg%3D%3D</t>
  </si>
  <si>
    <t>SD019-141-411-G</t>
  </si>
  <si>
    <t>Green photodiode</t>
  </si>
  <si>
    <t>https://www.mouser.co.uk/ProductDetail/Advanced-Photonix/SD019-141-411-G?qs=amGC7iS6iy9X%2F79ogBMg6A%3D%3D</t>
  </si>
  <si>
    <t>SD019-141-411-B</t>
  </si>
  <si>
    <t>Blue photodiode</t>
  </si>
  <si>
    <t>https://www.mouser.co.uk/ProductDetail/Advanced-Photonix/SD019-141-411-B?qs=By6Nw2ByBD1pb8ZBPfB6Ew%3D%3D</t>
  </si>
  <si>
    <t>UV photodiode</t>
  </si>
  <si>
    <t>https://www.mouser.co.uk/ProductDetail/LITEON/LTR-390UV-01?qs=g5ciJ0jwZaECcUd5i6p7%252Bg%3D%3D</t>
  </si>
  <si>
    <t>CRCW0603100KFKEA</t>
  </si>
  <si>
    <t>100k Resistor</t>
  </si>
  <si>
    <t>0.0173 (10 min)</t>
  </si>
  <si>
    <t>https://uk.farnell.com/vishay/crcw0603100kfkea/res-100k-1-0-1w-0603-thick-film/dp/1469649</t>
  </si>
  <si>
    <t>C1608X5R1E475K080AC</t>
  </si>
  <si>
    <t>4.7uF Capacitor</t>
  </si>
  <si>
    <t>https://uk.farnell.com/tdk/c1608x5r1e475k080ac/cap-4-7-f-25v-10-x5r-0603/dp/2525101</t>
  </si>
  <si>
    <t>KAM03AR70J104KH</t>
  </si>
  <si>
    <t>100nF capacitor</t>
  </si>
  <si>
    <t>https://uk.farnell.com/kyocera-avx/kam03ar70j104kh/capacitor-mlcc-0-1uf-x7r-6-3v/dp/4365702</t>
  </si>
  <si>
    <t>https://www.mouser.co.uk/ProductDetail/SEI-Stackpole/RMCA1206FT4K70-HP?qs=PBDs2xEllI%252BP8DTLWdwYcg%3D%3D</t>
  </si>
  <si>
    <t>Minimum to buy</t>
  </si>
  <si>
    <t>BH1730FVC-TR</t>
  </si>
  <si>
    <t>UV light sensor</t>
  </si>
  <si>
    <t>Visible and IR light sensor</t>
  </si>
  <si>
    <t>AS7331-AQFM</t>
  </si>
  <si>
    <t>RC0402JR-073M3L</t>
  </si>
  <si>
    <t>3.3M Resistor</t>
  </si>
  <si>
    <t>https://uk.farnell.com/yageo/rc0402jr-073m3l/res-3m3-5-0-0625w-0402-thick-film/dp/3495705</t>
  </si>
  <si>
    <t>https://www.mouser.co.uk/ProductDetail/YAGEO/RC0402JR-073M3L?qs=uM1JSSdPjOAZtq3Huw3R2w%3D%3D</t>
  </si>
  <si>
    <t>RMCA1206FT4K70-HP</t>
  </si>
  <si>
    <t>4.7k Resistor</t>
  </si>
  <si>
    <t>ERJHP6J821V</t>
  </si>
  <si>
    <t>820 Resistor</t>
  </si>
  <si>
    <t>https://uk.farnell.com/panasonic/erjhp6j821v/res-820r-5-0-5w-0805/dp/3646456</t>
  </si>
  <si>
    <t>https://uk.farnell.com/rohm/bh1730fvc-tr/ambient-light-sensor-i2c-wsof/dp/2421283</t>
  </si>
  <si>
    <t>https://uk.farnell.com/ams-osram-group/as7331-aqfm/ambient-light-proximity-sensor/dp/4158736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</si>
</sst>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 applyFill="1" applyBorder="1" applyAlignment="1"/>
    <xf numFmtId="0" fontId="2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tdk/c1608x5r1e475k080ac/cap-4-7-f-25v-10-x5r-0603/dp/2525101" TargetMode="External"/><Relationship Id="rId3" Type="http://schemas.openxmlformats.org/officeDocument/2006/relationships/hyperlink" Target="https://www.mouser.co.uk/ProductDetail/Advanced-Photonix/SD019-141-411-R?qs=amGC7iS6iy%252Bn%252Bre4ZJENsg%3D%3D" TargetMode="External"/><Relationship Id="rId7" Type="http://schemas.openxmlformats.org/officeDocument/2006/relationships/hyperlink" Target="https://uk.farnell.com/vishay/crcw0603100kfkea/res-100k-1-0-1w-0603-thick-film/dp/1469649" TargetMode="External"/><Relationship Id="rId12" Type="http://schemas.openxmlformats.org/officeDocument/2006/relationships/hyperlink" Target="https://uk.farnell.com/rohm/bh1730fvc-tr/ambient-light-sensor-i2c-wsof/dp/2421283" TargetMode="External"/><Relationship Id="rId2" Type="http://schemas.openxmlformats.org/officeDocument/2006/relationships/hyperlink" Target="https://www.digikey.co.uk/en/products/detail/kingbright/WP7113PD1BT-BD-P22/8591567" TargetMode="External"/><Relationship Id="rId1" Type="http://schemas.openxmlformats.org/officeDocument/2006/relationships/hyperlink" Target="https://uk.farnell.com/microchip/mcp6004-i-sl/op-amp-quad-1-8v-1mhz-14soic/dp/1605572" TargetMode="External"/><Relationship Id="rId6" Type="http://schemas.openxmlformats.org/officeDocument/2006/relationships/hyperlink" Target="https://www.mouser.co.uk/ProductDetail/LITEON/LTR-390UV-01?qs=g5ciJ0jwZaECcUd5i6p7%252Bg%3D%3D" TargetMode="External"/><Relationship Id="rId11" Type="http://schemas.openxmlformats.org/officeDocument/2006/relationships/hyperlink" Target="https://www.mouser.co.uk/ProductDetail/SEI-Stackpole/RMCA1206FT4K70-HP?qs=PBDs2xEllI%252BP8DTLWdwYcg%3D%3D" TargetMode="External"/><Relationship Id="rId5" Type="http://schemas.openxmlformats.org/officeDocument/2006/relationships/hyperlink" Target="https://www.mouser.co.uk/ProductDetail/Advanced-Photonix/SD019-141-411-B?qs=By6Nw2ByBD1pb8ZBPfB6Ew%3D%3D" TargetMode="External"/><Relationship Id="rId10" Type="http://schemas.openxmlformats.org/officeDocument/2006/relationships/hyperlink" Target="https://uk.farnell.com/panasonic/erjhp6j821v/res-820r-5-0-5w-0805/dp/3646456" TargetMode="External"/><Relationship Id="rId4" Type="http://schemas.openxmlformats.org/officeDocument/2006/relationships/hyperlink" Target="https://www.mouser.co.uk/ProductDetail/Advanced-Photonix/SD019-141-411-G?qs=amGC7iS6iy9X%2F79ogBMg6A%3D%3D" TargetMode="External"/><Relationship Id="rId9" Type="http://schemas.openxmlformats.org/officeDocument/2006/relationships/hyperlink" Target="https://uk.farnell.com/kyocera-avx/kam03ar70j104kh/capacitor-mlcc-0-1uf-x7r-6-3v/dp/4365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topLeftCell="B2" workbookViewId="0">
      <selection activeCell="F3" sqref="F3"/>
    </sheetView>
  </sheetViews>
  <sheetFormatPr defaultRowHeight="14.5" x14ac:dyDescent="0.35"/>
  <cols>
    <col min="1" max="1" width="21.81640625" customWidth="1"/>
    <col min="2" max="2" width="17.90625" customWidth="1"/>
    <col min="4" max="4" width="13.54296875" customWidth="1"/>
    <col min="5" max="5" width="15.4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  <c r="G1" s="1" t="s">
        <v>5</v>
      </c>
    </row>
    <row r="2" spans="1:17" x14ac:dyDescent="0.35">
      <c r="A2" t="s">
        <v>35</v>
      </c>
      <c r="B2" t="s">
        <v>37</v>
      </c>
      <c r="C2">
        <v>1</v>
      </c>
      <c r="D2">
        <v>2.23</v>
      </c>
      <c r="E2">
        <v>1</v>
      </c>
      <c r="F2">
        <v>3.08</v>
      </c>
      <c r="G2" s="4" t="s">
        <v>48</v>
      </c>
    </row>
    <row r="3" spans="1:17" x14ac:dyDescent="0.35">
      <c r="A3" t="s">
        <v>38</v>
      </c>
      <c r="B3" t="s">
        <v>36</v>
      </c>
      <c r="C3">
        <v>1</v>
      </c>
      <c r="D3">
        <v>7.76</v>
      </c>
      <c r="E3">
        <v>1</v>
      </c>
      <c r="F3">
        <f t="shared" ref="F3:F5" si="0">D3*E3</f>
        <v>7.76</v>
      </c>
      <c r="G3" s="4" t="s">
        <v>49</v>
      </c>
    </row>
    <row r="4" spans="1:17" x14ac:dyDescent="0.35">
      <c r="A4" t="s">
        <v>45</v>
      </c>
      <c r="B4" t="s">
        <v>46</v>
      </c>
      <c r="C4">
        <v>2</v>
      </c>
      <c r="D4">
        <v>0.06</v>
      </c>
      <c r="E4">
        <v>10</v>
      </c>
      <c r="F4">
        <f t="shared" si="0"/>
        <v>0.6</v>
      </c>
      <c r="G4" s="4" t="s">
        <v>47</v>
      </c>
    </row>
    <row r="5" spans="1:17" x14ac:dyDescent="0.35">
      <c r="A5" t="s">
        <v>43</v>
      </c>
      <c r="B5" t="s">
        <v>44</v>
      </c>
      <c r="C5">
        <v>4</v>
      </c>
      <c r="D5">
        <v>0.03</v>
      </c>
      <c r="E5">
        <v>10</v>
      </c>
      <c r="F5">
        <f t="shared" si="0"/>
        <v>0.3</v>
      </c>
      <c r="G5" s="4" t="s">
        <v>33</v>
      </c>
    </row>
    <row r="6" spans="1:17" x14ac:dyDescent="0.35">
      <c r="A6" s="3" t="s">
        <v>27</v>
      </c>
      <c r="B6" s="1" t="s">
        <v>28</v>
      </c>
      <c r="C6" s="1">
        <v>1</v>
      </c>
      <c r="D6" s="1">
        <v>9.4600000000000004E-2</v>
      </c>
      <c r="E6" s="1">
        <v>10</v>
      </c>
      <c r="F6" s="1">
        <f t="shared" ref="F6:F8" si="1">D6*E6</f>
        <v>0.94600000000000006</v>
      </c>
      <c r="G6" s="2" t="s">
        <v>29</v>
      </c>
    </row>
    <row r="7" spans="1:17" x14ac:dyDescent="0.35">
      <c r="A7" s="1" t="s">
        <v>39</v>
      </c>
      <c r="B7" s="1" t="s">
        <v>40</v>
      </c>
      <c r="C7" s="1">
        <v>3</v>
      </c>
      <c r="D7" s="1">
        <v>6.4000000000000003E-3</v>
      </c>
      <c r="E7" s="1">
        <v>10</v>
      </c>
      <c r="F7" s="1">
        <f t="shared" si="1"/>
        <v>6.4000000000000001E-2</v>
      </c>
      <c r="G7" s="2" t="s">
        <v>41</v>
      </c>
      <c r="Q7" t="s">
        <v>42</v>
      </c>
    </row>
    <row r="8" spans="1:17" x14ac:dyDescent="0.35">
      <c r="A8" s="1" t="s">
        <v>30</v>
      </c>
      <c r="B8" s="1" t="s">
        <v>31</v>
      </c>
      <c r="C8" s="1">
        <v>1</v>
      </c>
      <c r="D8" s="1">
        <v>5.2400000000000002E-2</v>
      </c>
      <c r="E8" s="1">
        <v>10</v>
      </c>
      <c r="F8" s="1">
        <f t="shared" si="1"/>
        <v>0.52400000000000002</v>
      </c>
      <c r="G8" s="2" t="s">
        <v>32</v>
      </c>
    </row>
    <row r="9" spans="1:17" x14ac:dyDescent="0.35">
      <c r="F9">
        <f>SUM(F2:F8)</f>
        <v>13.274000000000001</v>
      </c>
    </row>
    <row r="12" spans="1:17" x14ac:dyDescent="0.35">
      <c r="G12" s="4"/>
    </row>
    <row r="14" spans="1:17" x14ac:dyDescent="0.35">
      <c r="G14" s="4"/>
    </row>
    <row r="15" spans="1:17" x14ac:dyDescent="0.35">
      <c r="G15" s="4"/>
    </row>
    <row r="16" spans="1:17" x14ac:dyDescent="0.35">
      <c r="G16" s="4"/>
    </row>
    <row r="17" spans="1:7" x14ac:dyDescent="0.35">
      <c r="G17" s="4"/>
    </row>
    <row r="22" spans="1:7" x14ac:dyDescent="0.35">
      <c r="A22" s="1" t="s">
        <v>6</v>
      </c>
      <c r="B22" s="1" t="s">
        <v>7</v>
      </c>
      <c r="C22" s="1">
        <v>1</v>
      </c>
      <c r="D22" s="1">
        <v>0.50880000000000003</v>
      </c>
      <c r="E22" s="1"/>
      <c r="F22" s="1">
        <v>0.50880000000000003</v>
      </c>
      <c r="G22" s="2" t="s">
        <v>8</v>
      </c>
    </row>
    <row r="23" spans="1:7" x14ac:dyDescent="0.35">
      <c r="A23" s="1" t="s">
        <v>9</v>
      </c>
      <c r="B23" s="1" t="s">
        <v>10</v>
      </c>
      <c r="C23" s="1">
        <v>1</v>
      </c>
      <c r="D23" s="1">
        <v>0.65</v>
      </c>
      <c r="E23" s="1"/>
      <c r="F23" s="1">
        <v>0.65</v>
      </c>
      <c r="G23" s="2" t="s">
        <v>11</v>
      </c>
    </row>
    <row r="24" spans="1:7" x14ac:dyDescent="0.35">
      <c r="A24" s="1" t="s">
        <v>12</v>
      </c>
      <c r="B24" s="1" t="s">
        <v>13</v>
      </c>
      <c r="C24" s="1">
        <v>1</v>
      </c>
      <c r="D24" s="1">
        <v>1.48</v>
      </c>
      <c r="E24" s="1"/>
      <c r="F24" s="1">
        <v>1.48</v>
      </c>
      <c r="G24" s="2" t="s">
        <v>14</v>
      </c>
    </row>
    <row r="25" spans="1:7" x14ac:dyDescent="0.35">
      <c r="A25" s="1" t="s">
        <v>15</v>
      </c>
      <c r="B25" s="1" t="s">
        <v>16</v>
      </c>
      <c r="C25" s="1">
        <v>1</v>
      </c>
      <c r="D25" s="1">
        <v>1.48</v>
      </c>
      <c r="E25" s="1"/>
      <c r="F25" s="1">
        <v>1.48</v>
      </c>
      <c r="G25" s="2" t="s">
        <v>17</v>
      </c>
    </row>
    <row r="26" spans="1:7" x14ac:dyDescent="0.35">
      <c r="A26" s="1" t="s">
        <v>18</v>
      </c>
      <c r="B26" s="1" t="s">
        <v>19</v>
      </c>
      <c r="C26" s="1">
        <v>1</v>
      </c>
      <c r="D26" s="1">
        <v>1.48</v>
      </c>
      <c r="E26" s="1"/>
      <c r="F26" s="1">
        <v>1.48</v>
      </c>
      <c r="G26" s="2" t="s">
        <v>20</v>
      </c>
    </row>
    <row r="27" spans="1:7" x14ac:dyDescent="0.35">
      <c r="A27" s="1"/>
      <c r="B27" s="1" t="s">
        <v>21</v>
      </c>
      <c r="C27" s="1">
        <v>1</v>
      </c>
      <c r="D27" s="1"/>
      <c r="E27" s="1"/>
      <c r="F27" s="1">
        <v>0</v>
      </c>
      <c r="G27" s="2" t="s">
        <v>22</v>
      </c>
    </row>
    <row r="28" spans="1:7" x14ac:dyDescent="0.35">
      <c r="A28" s="1" t="s">
        <v>23</v>
      </c>
      <c r="B28" s="1" t="s">
        <v>24</v>
      </c>
      <c r="C28" s="1">
        <v>4</v>
      </c>
      <c r="D28" s="1" t="s">
        <v>25</v>
      </c>
      <c r="E28" s="1"/>
      <c r="F28" s="1">
        <v>0.17299999999999999</v>
      </c>
      <c r="G28" s="2" t="s">
        <v>26</v>
      </c>
    </row>
  </sheetData>
  <hyperlinks>
    <hyperlink ref="G22" r:id="rId1" xr:uid="{48B56368-8BF1-4C0F-9AFD-602BFB82C016}"/>
    <hyperlink ref="G23" r:id="rId2" xr:uid="{95181EA5-9FF2-4C39-9CE8-10CCA072E552}"/>
    <hyperlink ref="G24" r:id="rId3" xr:uid="{4356C73D-B6DA-40B0-AC10-4563F9C4538E}"/>
    <hyperlink ref="G25" r:id="rId4" xr:uid="{71D4D102-3437-466F-93B4-A05CAAA40D2A}"/>
    <hyperlink ref="G26" r:id="rId5" xr:uid="{01A08F37-EA00-4D9D-B011-9EDDF86C7698}"/>
    <hyperlink ref="G27" r:id="rId6" xr:uid="{9E407D5A-5A8B-4FB2-BEEC-3A07E894F12F}"/>
    <hyperlink ref="G28" r:id="rId7" xr:uid="{1027A287-41CC-41F1-84DD-0953A718091C}"/>
    <hyperlink ref="G6" r:id="rId8" xr:uid="{4A078172-1065-446F-AC24-F47116B89DF0}"/>
    <hyperlink ref="G8" r:id="rId9" xr:uid="{F77286E9-A4E8-44CC-8B02-D907E192D8CD}"/>
    <hyperlink ref="G4" r:id="rId10" xr:uid="{16894FA3-56AD-459A-8D9E-A7DBD1DCF02A}"/>
    <hyperlink ref="G5" r:id="rId11" xr:uid="{239AC153-2DDD-47FB-856F-FA441DBD79E9}"/>
    <hyperlink ref="G2" r:id="rId12" xr:uid="{1CA49F46-03AF-4EDD-99D9-DEECFE8FFE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Connor Dykes (cnd1u25)</cp:lastModifiedBy>
  <cp:revision/>
  <dcterms:created xsi:type="dcterms:W3CDTF">2026-01-28T17:56:03Z</dcterms:created>
  <dcterms:modified xsi:type="dcterms:W3CDTF">2026-03-19T19:04:52Z</dcterms:modified>
  <cp:category/>
  <cp:contentStatus/>
</cp:coreProperties>
</file>