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ew8g21_soton_ac_uk/Documents/SUSF/SULRE/COMET-I-Static-Fire/COMET1_CCT_Board/Manufacturing/"/>
    </mc:Choice>
  </mc:AlternateContent>
  <xr:revisionPtr revIDLastSave="223" documentId="8_{0BB5A7D3-0F8A-4DAE-B703-D31CBF0624C7}" xr6:coauthVersionLast="47" xr6:coauthVersionMax="47" xr10:uidLastSave="{3BAEC289-8895-4B54-9895-57C2222C6FA5}"/>
  <bookViews>
    <workbookView xWindow="-108" yWindow="-108" windowWidth="23256" windowHeight="12576" xr2:uid="{5F4C5BBC-58D3-43F0-8E13-8F7BD0FEBD51}"/>
  </bookViews>
  <sheets>
    <sheet name="Joint_BOM_farnell" sheetId="3" r:id="rId1"/>
    <sheet name="COMET1_CCT_BOM_farnell" sheetId="1" r:id="rId2"/>
    <sheet name="COMET1_PWR_BOM_farnell" sheetId="2" r:id="rId3"/>
  </sheets>
  <calcPr calcId="0"/>
</workbook>
</file>

<file path=xl/calcChain.xml><?xml version="1.0" encoding="utf-8"?>
<calcChain xmlns="http://schemas.openxmlformats.org/spreadsheetml/2006/main">
  <c r="I31" i="3" l="1"/>
  <c r="P31" i="3"/>
  <c r="S9" i="3"/>
  <c r="K2" i="3"/>
  <c r="M2" i="3" s="1"/>
  <c r="N2" i="3" s="1"/>
  <c r="N31" i="3" s="1"/>
  <c r="S11" i="3" s="1"/>
  <c r="K3" i="3"/>
  <c r="M3" i="3" s="1"/>
  <c r="N3" i="3" s="1"/>
  <c r="K4" i="3"/>
  <c r="M4" i="3" s="1"/>
  <c r="N4" i="3" s="1"/>
  <c r="K5" i="3"/>
  <c r="M5" i="3" s="1"/>
  <c r="N5" i="3" s="1"/>
  <c r="K6" i="3"/>
  <c r="M6" i="3" s="1"/>
  <c r="N6" i="3" s="1"/>
  <c r="K7" i="3"/>
  <c r="M7" i="3" s="1"/>
  <c r="N7" i="3" s="1"/>
  <c r="K8" i="3"/>
  <c r="M8" i="3" s="1"/>
  <c r="N8" i="3" s="1"/>
  <c r="K9" i="3"/>
  <c r="M9" i="3" s="1"/>
  <c r="N9" i="3" s="1"/>
  <c r="K10" i="3"/>
  <c r="M10" i="3" s="1"/>
  <c r="N10" i="3" s="1"/>
  <c r="K11" i="3"/>
  <c r="M11" i="3" s="1"/>
  <c r="N11" i="3" s="1"/>
  <c r="K12" i="3"/>
  <c r="M12" i="3" s="1"/>
  <c r="N12" i="3" s="1"/>
  <c r="K13" i="3"/>
  <c r="M13" i="3" s="1"/>
  <c r="N13" i="3" s="1"/>
  <c r="K14" i="3"/>
  <c r="M14" i="3" s="1"/>
  <c r="N14" i="3" s="1"/>
  <c r="K15" i="3"/>
  <c r="M15" i="3" s="1"/>
  <c r="N15" i="3" s="1"/>
  <c r="K16" i="3"/>
  <c r="M16" i="3" s="1"/>
  <c r="N16" i="3" s="1"/>
  <c r="K17" i="3"/>
  <c r="M17" i="3" s="1"/>
  <c r="N17" i="3" s="1"/>
  <c r="K18" i="3"/>
  <c r="M18" i="3" s="1"/>
  <c r="N18" i="3" s="1"/>
  <c r="K19" i="3"/>
  <c r="M19" i="3" s="1"/>
  <c r="N19" i="3" s="1"/>
  <c r="K20" i="3"/>
  <c r="M20" i="3" s="1"/>
  <c r="N20" i="3" s="1"/>
  <c r="K21" i="3"/>
  <c r="M21" i="3" s="1"/>
  <c r="N21" i="3" s="1"/>
  <c r="K22" i="3"/>
  <c r="M22" i="3" s="1"/>
  <c r="N22" i="3" s="1"/>
  <c r="K23" i="3"/>
  <c r="M23" i="3" s="1"/>
  <c r="N23" i="3" s="1"/>
  <c r="K24" i="3"/>
  <c r="M24" i="3" s="1"/>
  <c r="N24" i="3" s="1"/>
  <c r="K25" i="3"/>
  <c r="M25" i="3" s="1"/>
  <c r="N25" i="3" s="1"/>
  <c r="K26" i="3"/>
  <c r="M26" i="3" s="1"/>
  <c r="N26" i="3" s="1"/>
  <c r="K27" i="3"/>
  <c r="M27" i="3" s="1"/>
  <c r="K28" i="3"/>
  <c r="M28" i="3" s="1"/>
  <c r="N28" i="3" s="1"/>
  <c r="K29" i="3"/>
  <c r="M29" i="3" s="1"/>
  <c r="N29" i="3" s="1"/>
  <c r="K30" i="3"/>
  <c r="M30" i="3" s="1"/>
  <c r="N30" i="3" s="1"/>
  <c r="I12" i="2"/>
  <c r="K12" i="2"/>
  <c r="L12" i="2"/>
  <c r="N12" i="2"/>
  <c r="L7" i="2"/>
  <c r="K3" i="2"/>
  <c r="L3" i="2" s="1"/>
  <c r="K4" i="2"/>
  <c r="L4" i="2" s="1"/>
  <c r="K5" i="2"/>
  <c r="L5" i="2" s="1"/>
  <c r="K6" i="2"/>
  <c r="L6" i="2" s="1"/>
  <c r="K7" i="2"/>
  <c r="K8" i="2"/>
  <c r="K9" i="2"/>
  <c r="L9" i="2" s="1"/>
  <c r="K10" i="2"/>
  <c r="L10" i="2" s="1"/>
  <c r="K11" i="2"/>
  <c r="L11" i="2" s="1"/>
  <c r="K2" i="2"/>
  <c r="L2" i="2" s="1"/>
  <c r="H21" i="1"/>
  <c r="J2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" i="1"/>
  <c r="M21" i="1"/>
  <c r="K21" i="1"/>
  <c r="S12" i="3" l="1"/>
  <c r="M31" i="3"/>
</calcChain>
</file>

<file path=xl/sharedStrings.xml><?xml version="1.0" encoding="utf-8"?>
<sst xmlns="http://schemas.openxmlformats.org/spreadsheetml/2006/main" count="497" uniqueCount="160">
  <si>
    <t>Reference</t>
  </si>
  <si>
    <t>Value</t>
  </si>
  <si>
    <t>Description</t>
  </si>
  <si>
    <t>Supplier</t>
  </si>
  <si>
    <t>MPN</t>
  </si>
  <si>
    <t>Order Code</t>
  </si>
  <si>
    <t>Price Per</t>
  </si>
  <si>
    <t>Qty</t>
  </si>
  <si>
    <t>Min Qty</t>
  </si>
  <si>
    <t>Part Link</t>
  </si>
  <si>
    <t>BUZ1</t>
  </si>
  <si>
    <t>~</t>
  </si>
  <si>
    <t>Magnetic Transducer, Buzzer, Continuous, 3 V, 110 mA, 80 dB, 4 kHz</t>
  </si>
  <si>
    <t>Farnell</t>
  </si>
  <si>
    <t>KSSG33J12Y</t>
  </si>
  <si>
    <t xml:space="preserve">https://uk.farnell.com/kingstate/kssg33j12y/magnetic-transducer-buzzer-80db/dp/4245943 </t>
  </si>
  <si>
    <t>D2</t>
  </si>
  <si>
    <t>USBLC6-2SC6</t>
  </si>
  <si>
    <t>TVS Diode Array</t>
  </si>
  <si>
    <t>https://uk.farnell.com/stmicroelectronics/usblc6-2sc6/esd-protection-17v-sot-23/dp/1269406</t>
  </si>
  <si>
    <t>F1</t>
  </si>
  <si>
    <t>Fuse</t>
  </si>
  <si>
    <t>SMD 1210 1A Fuse</t>
  </si>
  <si>
    <t>SMD1210B075TF/24</t>
  </si>
  <si>
    <t>https://uk.farnell.com/yageo/smd1210b075tf-24/pptc-reset-fuse-smd-24vdc-1210/dp/4072044</t>
  </si>
  <si>
    <t>J3</t>
  </si>
  <si>
    <t>Micro_SD_Card</t>
  </si>
  <si>
    <t>Micro SD Card Socket</t>
  </si>
  <si>
    <t>47219-2001</t>
  </si>
  <si>
    <t>https://uk.farnell.com/molex/47219-2001/connector-micro-sd-8pos/dp/2614940</t>
  </si>
  <si>
    <t>J5</t>
  </si>
  <si>
    <t>USBC_Conn</t>
  </si>
  <si>
    <t>USB 2.0-only 16P Type-C Receptacle connector</t>
  </si>
  <si>
    <t>USB4085-GF-A</t>
  </si>
  <si>
    <t>https://uk.farnell.com/gct-global-connector-technology/usb4085-gf-a/usb-conn-2-0-type-c-r-a-rcpt-16pos/dp/2924867</t>
  </si>
  <si>
    <t>J14</t>
  </si>
  <si>
    <t>RJ45_LED_Shielded</t>
  </si>
  <si>
    <t>RJ connector, 8P8C (8 positions 8 connected), two LEDs, Shielded</t>
  </si>
  <si>
    <t xml:space="preserve">RJHSE-5381 </t>
  </si>
  <si>
    <t>https://uk.farnell.com/amphenol-icc-commercial-products/rjhse-5381/connector-modular-jack/dp/1462758</t>
  </si>
  <si>
    <t>J1,J2</t>
  </si>
  <si>
    <t>DF11-10DS-2DSA</t>
  </si>
  <si>
    <t>Hirose DF11 Series, 2mm Pitch 10 Way 2 Row Straight PCB Header, Solder Termination, 2A</t>
  </si>
  <si>
    <t>https://uk.farnell.com/hirose-hrs/df11-10ds-2dsa-05/receptacle-2mm-10way/dp/1688320</t>
  </si>
  <si>
    <t>J7,J8,J9,J10,J11,J12</t>
  </si>
  <si>
    <t>Molex_01x02</t>
  </si>
  <si>
    <t>MOLEX - 502352-0201 - WTB CONN, HEADER, 2POS, 1ROW, 2MM</t>
  </si>
  <si>
    <t>502352-0201</t>
  </si>
  <si>
    <t>https://uk.farnell.com/molex/502352-0201/wtb-conn-header-2pos-1row-2mm/dp/3103081</t>
  </si>
  <si>
    <t>L2</t>
  </si>
  <si>
    <t>12uH</t>
  </si>
  <si>
    <t>SMD 1206 Inductor</t>
  </si>
  <si>
    <t>MCSD54-120MU</t>
  </si>
  <si>
    <t xml:space="preserve">https://uk.farnell.com/multicomp-pro/mcsd54-120mu/inductor-12uh-1-4a-20/dp/1864116 </t>
  </si>
  <si>
    <t>LED1</t>
  </si>
  <si>
    <t>Green</t>
  </si>
  <si>
    <t>SMD 0603 Green LED 2.3V 20mA</t>
  </si>
  <si>
    <t>MP008288</t>
  </si>
  <si>
    <t xml:space="preserve">https://uk.farnell.com/multicomp-pro/mp008288/led-green-90mcd-577nm-0603/dp/3796319 </t>
  </si>
  <si>
    <t>LED2,LED3</t>
  </si>
  <si>
    <t>Red</t>
  </si>
  <si>
    <t>SMD 0603 Red LED 2.4V 20mA</t>
  </si>
  <si>
    <t>MP008277</t>
  </si>
  <si>
    <t xml:space="preserve">https://uk.farnell.com/multicomp-pro/mp008277/led-red-220mcd-626nm-0603/dp/3796306?CMP=e-email-sys-orderconfirmed-GLB-Product </t>
  </si>
  <si>
    <t>U1</t>
  </si>
  <si>
    <t>U2</t>
  </si>
  <si>
    <t>S25FL128</t>
  </si>
  <si>
    <t>16MB Flash</t>
  </si>
  <si>
    <t>S25FL128LAGMFI013</t>
  </si>
  <si>
    <t>https://uk.farnell.com/infineon/s25fl128lagmfi013/flash-memory-128mbit-40-to-85deg/dp/4128033</t>
  </si>
  <si>
    <t>U3</t>
  </si>
  <si>
    <t>NCP1117_3.3</t>
  </si>
  <si>
    <t>1A Low drop-out regulator</t>
  </si>
  <si>
    <t>NCP1117LPST33T3G</t>
  </si>
  <si>
    <t>https://uk.farnell.com/on-semiconductor/ncp1117lpst33t3g/ldo-fixed-3-3v-1a-sot-223-3/dp/2534283</t>
  </si>
  <si>
    <t>U5</t>
  </si>
  <si>
    <t>LM27313</t>
  </si>
  <si>
    <t>DC/DC Boost converter</t>
  </si>
  <si>
    <t>LM27313XMFX/NOPB</t>
  </si>
  <si>
    <t>https://uk.farnell.com/texas-instruments/lm27313xmfx-nopb/dc-dc-conv-buck-1-6mhz-sot-23/dp/3121547</t>
  </si>
  <si>
    <t>U6</t>
  </si>
  <si>
    <t>PAC1934</t>
  </si>
  <si>
    <t>Quad High-Side Current Sensor, I2C</t>
  </si>
  <si>
    <t>PAC1934T-I/JQ</t>
  </si>
  <si>
    <t>https://uk.farnell.com/microchip/pac1934t-i-jq/dc-power-energy-monitor-with-accumulator/dp/2907898</t>
  </si>
  <si>
    <t>U9</t>
  </si>
  <si>
    <t>STS4L</t>
  </si>
  <si>
    <t>Board Mount Temperature Sensor</t>
  </si>
  <si>
    <t>STS4L-AD1B-R3</t>
  </si>
  <si>
    <t>https://uk.farnell.com/sensirion/sts4l-ad1b-r3/temperature-sensor-0-4deg-c-dfn/dp/4551122</t>
  </si>
  <si>
    <t>U10</t>
  </si>
  <si>
    <t>ISL83488</t>
  </si>
  <si>
    <t>RS-485 Interface IC, Full-duplex</t>
  </si>
  <si>
    <t>ISL83488IBZ-T</t>
  </si>
  <si>
    <t>https://uk.farnell.com/renesas/isl83488ibz-t/rs422-rs485-transceiver-40-to/dp/2983883</t>
  </si>
  <si>
    <t>U7,U8</t>
  </si>
  <si>
    <t>MCP96R00</t>
  </si>
  <si>
    <t>Thermocouple to I2C</t>
  </si>
  <si>
    <t>MCP96RL00-E/MX</t>
  </si>
  <si>
    <t>https://uk.farnell.com/microchip/mcp96rl00-e-mx/thermocouple-emf-temp-converter/dp/2991624</t>
  </si>
  <si>
    <t>X1</t>
  </si>
  <si>
    <t>ABM8-272-T3</t>
  </si>
  <si>
    <t>Oscillator</t>
  </si>
  <si>
    <t>https://uk.farnell.com/abracon/abm8-272-t3/crystal-12mhz-10pf-3-2mm-x-2-5mm/dp/4331750</t>
  </si>
  <si>
    <t>#</t>
  </si>
  <si>
    <t>Supplier Link</t>
  </si>
  <si>
    <t>F1,F2</t>
  </si>
  <si>
    <t>J1</t>
  </si>
  <si>
    <t>XT30_THT_H</t>
  </si>
  <si>
    <t>Rectangular Power Connector, 2 Contacts, MP XT Series, PCB Mount, Through Hole Right Angle, 5 mm -20C to +120C</t>
  </si>
  <si>
    <t>MP011756</t>
  </si>
  <si>
    <t>https://uk.farnell.com/multicomp-pro/mp011756/rect-pwr-conn-r-a-plug-2pos-pcb/dp/4220281</t>
  </si>
  <si>
    <t>J2</t>
  </si>
  <si>
    <t>Molex_Block_01x02</t>
  </si>
  <si>
    <t>Generic screw terminal, single row, 01x02, script generated (kicad-library-utils/schlib/autogen/connector/)</t>
  </si>
  <si>
    <t>2060-452/998-404</t>
  </si>
  <si>
    <t>https://uk.farnell.com/wago/2060-452-998-404/terminal-block-wire-to-brd-2pos/dp/2499130</t>
  </si>
  <si>
    <t>J3,J4,J5</t>
  </si>
  <si>
    <t>502352-0301</t>
  </si>
  <si>
    <t>DuraClik Wire-to-Board Header, Single Row, Right-Angle,  Circuits, Tin (Sn) Plating, Black</t>
  </si>
  <si>
    <t>https://uk.farnell.com/molex/502352-0301/wtb-conn-header-r-a-3pos-1row/dp/3365016</t>
  </si>
  <si>
    <t>J6,J7</t>
  </si>
  <si>
    <t>DF11-10DP-2DSA</t>
  </si>
  <si>
    <t>Hirose DF11, 2mm Pitch, 10 Way, 2 Row, Straight PCB Header, Through Hole</t>
  </si>
  <si>
    <t>DF11-10DP-2DSA(24)</t>
  </si>
  <si>
    <t>Red SMD LED, 0603</t>
  </si>
  <si>
    <t>S1</t>
  </si>
  <si>
    <t>SPST_1101M2S3AQE2</t>
  </si>
  <si>
    <t>PCB Slide Switch Single Pole Double Throw (SPDT) Latching 6 A @ 120 V ac, 6 A @ 28 V dc Slide</t>
  </si>
  <si>
    <t>https://uk.farnell.com/c-k-components/1101m2s3aqe2/slide-switch-spdt-r-a-on-on/dp/1437701</t>
  </si>
  <si>
    <t>BV1HJ180EFJ-C</t>
  </si>
  <si>
    <t>Power Load Distribution Switch</t>
  </si>
  <si>
    <t>BV1HJ180EFJ-CE2</t>
  </si>
  <si>
    <t>https://uk.farnell.com/rohm/bv1hj180efj-ce2/power-load-sw-high-side-40-to/dp/4137626</t>
  </si>
  <si>
    <t>U3,U4</t>
  </si>
  <si>
    <t>MIC29302AWD</t>
  </si>
  <si>
    <t>3A low dropout linear regulator, adjustable output, TO-252</t>
  </si>
  <si>
    <t>MIC29302AWD-TR</t>
  </si>
  <si>
    <t>https://uk.farnell.com/microchip/mic29302awd-tr/ldo-adj-1-25-15v-3a-to-252-5/dp/2857615</t>
  </si>
  <si>
    <t>Total Price</t>
  </si>
  <si>
    <t>Column1</t>
  </si>
  <si>
    <t>Total</t>
  </si>
  <si>
    <t>Order Qty</t>
  </si>
  <si>
    <t>.</t>
  </si>
  <si>
    <t>Board Qty</t>
  </si>
  <si>
    <t>Total Qty</t>
  </si>
  <si>
    <t>Min Order</t>
  </si>
  <si>
    <t>CCT Fab</t>
  </si>
  <si>
    <t>CCT Asm</t>
  </si>
  <si>
    <t>PWR Fab</t>
  </si>
  <si>
    <t>PWR Asm</t>
  </si>
  <si>
    <t>Coupon</t>
  </si>
  <si>
    <t>Shipping</t>
  </si>
  <si>
    <t>Total Total</t>
  </si>
  <si>
    <t>Board</t>
  </si>
  <si>
    <t>CCT</t>
  </si>
  <si>
    <t>PWR</t>
  </si>
  <si>
    <t>JLCPCB Total</t>
  </si>
  <si>
    <t>Farnell Total</t>
  </si>
  <si>
    <t>For 1 fully assembled boards of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</si>
</sst>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"/>
      <color theme="1"/>
      <name val="Aptos Narrow"/>
      <family val="2"/>
      <scheme val="minor"/>
    </font>
    <font>
      <sz val="1"/>
      <color theme="3" tint="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44" fontId="0" fillId="0" borderId="0" xfId="0" applyNumberFormat="1"/>
    <xf numFmtId="0" fontId="16" fillId="0" borderId="0" xfId="0" applyFont="1"/>
    <xf numFmtId="4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ont>
        <b/>
      </font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£&quot;* #,##0.00_-;\-&quot;£&quot;* #,##0.00_-;_-&quot;£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"/>
        <color theme="1"/>
        <name val="Aptos Narrow"/>
        <family val="2"/>
        <scheme val="minor"/>
      </font>
    </dxf>
    <dxf>
      <numFmt numFmtId="34" formatCode="_-&quot;£&quot;* #,##0.00_-;\-&quot;£&quot;* #,##0.00_-;_-&quot;£&quot;* &quot;-&quot;??_-;_-@_-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"/>
        <color theme="1"/>
        <name val="Aptos Narrow"/>
        <family val="2"/>
        <scheme val="minor"/>
      </font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"/>
        <color theme="1"/>
        <name val="Aptos Narrow"/>
        <family val="2"/>
        <scheme val="minor"/>
      </font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font>
        <strike val="0"/>
        <outline val="0"/>
        <shadow val="0"/>
        <u val="none"/>
        <vertAlign val="baseline"/>
        <sz val="1"/>
        <color theme="1"/>
        <name val="Aptos Narrow"/>
        <family val="2"/>
        <scheme val="minor"/>
      </font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font>
        <strike val="0"/>
        <outline val="0"/>
        <shadow val="0"/>
        <u val="none"/>
        <vertAlign val="baseline"/>
        <sz val="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2EF359-04BD-4143-8D3D-504EF5EE5A9F}" name="Table18" displayName="Table18" ref="A1:P31" totalsRowCount="1">
  <autoFilter ref="A1:P30" xr:uid="{B82EF359-04BD-4143-8D3D-504EF5EE5A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7" xr3:uid="{FB681077-EC1D-492D-BD8E-E6986F77EAD4}" name="Board"/>
    <tableColumn id="1" xr3:uid="{FA9D4AE6-70AA-4EF5-97EF-FCBB9B89342A}" name="Reference" totalsRowLabel="Total" totalsRowDxfId="16"/>
    <tableColumn id="2" xr3:uid="{4E8BFFC2-7765-4C60-87A4-7171401757B0}" name="Value" totalsRowDxfId="15"/>
    <tableColumn id="3" xr3:uid="{061627DA-A2F1-4AD7-B795-0213ADAA9AB2}" name="Description" totalsRowDxfId="14"/>
    <tableColumn id="5" xr3:uid="{2D388D51-27DD-4B16-947B-DE91CDA2443D}" name="Supplier" totalsRowDxfId="13"/>
    <tableColumn id="6" xr3:uid="{40E36612-2827-4402-BBE5-A00DE7901D17}" name="MPN" totalsRowDxfId="12"/>
    <tableColumn id="7" xr3:uid="{CBB916FD-6B01-41A4-A7AC-5883F2674BBA}" name="Order Code" totalsRowDxfId="11"/>
    <tableColumn id="8" xr3:uid="{B96131A6-AAA9-4C3B-9906-045EED8690C6}" name="Price Per" dataDxfId="23" totalsRowDxfId="10"/>
    <tableColumn id="9" xr3:uid="{8A6552F5-715E-496F-AE75-3509377483CA}" name="Qty" totalsRowFunction="sum" totalsRowDxfId="9"/>
    <tableColumn id="15" xr3:uid="{B4575589-6043-422E-BDFC-2F67E60FEF11}" name="Board Qty" totalsRowDxfId="8"/>
    <tableColumn id="16" xr3:uid="{8C570B6A-AFA8-400D-8487-7A5C44CEE597}" name="Total Qty" dataDxfId="20" totalsRowDxfId="7">
      <calculatedColumnFormula>Table18[[#This Row],[Qty]]*Table18[[#This Row],[Board Qty]]</calculatedColumnFormula>
    </tableColumn>
    <tableColumn id="10" xr3:uid="{4A16DF13-2E1F-4BB0-BA46-ED486C3C0667}" name="Min Order" totalsRowDxfId="6"/>
    <tableColumn id="14" xr3:uid="{779870C1-AC38-4FAF-822F-706BC2341B6E}" name="Order Qty" totalsRowFunction="sum" dataDxfId="19" totalsRowDxfId="5">
      <calculatedColumnFormula>IF(Table18[[#This Row],[Total Qty]]&gt;Table18[[#This Row],[Min Order]],Table18[[#This Row],[Total Qty]],Table18[[#This Row],[Min Order]])</calculatedColumnFormula>
    </tableColumn>
    <tableColumn id="11" xr3:uid="{44A7B353-DBC9-4E33-A217-0937B4909506}" name="Total Price" totalsRowFunction="sum" dataDxfId="22" totalsRowDxfId="4">
      <calculatedColumnFormula>Table18[[#This Row],[Price Per]]*Table18[[#This Row],[Order Qty]]</calculatedColumnFormula>
    </tableColumn>
    <tableColumn id="12" xr3:uid="{DC76B78C-64A5-4F8B-B093-35BC5BB81633}" name="Part Link"/>
    <tableColumn id="13" xr3:uid="{59F27725-C0BB-41B9-B08E-9B093E2911C7}" name="Column1" totalsRowFunction="count" dataDxfId="21" totalsRowDxfId="3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17C41B-CEA2-418C-8C92-99E88A7F439C}" name="Table8" displayName="Table8" ref="R3:S12" headerRowCount="0" totalsRowShown="0">
  <tableColumns count="2">
    <tableColumn id="1" xr3:uid="{1BF20DA5-9A0B-4D06-93CA-7E2E9D015628}" name="Column1" dataDxfId="2"/>
    <tableColumn id="2" xr3:uid="{797E05AA-25A2-4CF1-9E7B-633A5F64E7F6}" name="Column2" headerRowDxfId="1" dataDxfId="0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D0466-F46F-482D-9F47-94E9F218D99A}" name="Table1" displayName="Table1" ref="A1:M21" totalsRowCount="1">
  <autoFilter ref="A1:M20" xr:uid="{8FED0466-F46F-482D-9F47-94E9F218D9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7359B24-FFCC-4BB8-8A38-105BAC8E0C67}" name="Reference" totalsRowLabel="Total"/>
    <tableColumn id="2" xr3:uid="{82C37671-735A-4F15-888C-D0611BEDE7E6}" name="Value"/>
    <tableColumn id="3" xr3:uid="{D4C7A9E6-9FFF-4B1F-BB3E-92B0CCCF4ED1}" name="Description"/>
    <tableColumn id="5" xr3:uid="{BFFFC1F9-BA4C-453B-9BDC-0C3B283C9859}" name="Supplier"/>
    <tableColumn id="6" xr3:uid="{42562ADA-7215-4887-A34C-EE6F0AB4A907}" name="MPN"/>
    <tableColumn id="7" xr3:uid="{196C6002-590F-4353-A8B6-96F2445544E9}" name="Order Code"/>
    <tableColumn id="8" xr3:uid="{54FD2166-FCBD-4BA0-ACD4-0110058A20B2}" name="Price Per" dataDxfId="30"/>
    <tableColumn id="9" xr3:uid="{59402511-B4A5-41F1-B9B7-3266D830673D}" name="Qty" totalsRowFunction="sum"/>
    <tableColumn id="10" xr3:uid="{8FA9CCB8-0961-4A40-8B17-D35C4FFCF521}" name="Min Qty"/>
    <tableColumn id="14" xr3:uid="{E5895297-E307-4B7D-8B5B-6A691137BB88}" name="Order Qty" totalsRowFunction="sum">
      <calculatedColumnFormula>IF(Table1[[#This Row],[Qty]]&gt;Table1[[#This Row],[Min Qty]],Table1[[#This Row],[Qty]],Table1[[#This Row],[Min Qty]])</calculatedColumnFormula>
    </tableColumn>
    <tableColumn id="11" xr3:uid="{0AA9721D-FE3E-44B5-A45B-D671170E0CC9}" name="Total Price" totalsRowFunction="sum" dataDxfId="29" totalsRowDxfId="18">
      <calculatedColumnFormula>Table1[[#This Row],[Price Per]]*Table1[[#This Row],[Order Qty]]</calculatedColumnFormula>
    </tableColumn>
    <tableColumn id="12" xr3:uid="{E865E7F3-A47F-4E68-87E8-FC375E5D4FAE}" name="Part Link"/>
    <tableColumn id="13" xr3:uid="{693E9B70-90CE-43DA-A655-53D1F42DD104}" name="Column1" totalsRowFunction="count" dataDxfId="31" totalsRowDxfId="17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A273FB-5E34-4E8E-81FD-1E6447145097}" name="Table2" displayName="Table2" ref="A1:N12" totalsRowCount="1">
  <autoFilter ref="A1:N11" xr:uid="{8FA273FB-5E34-4E8E-81FD-1E64471450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41AF0543-560B-4BB8-962F-D2AEDE757E82}" name="#" totalsRowLabel="Total"/>
    <tableColumn id="2" xr3:uid="{89DA57A5-0475-4D2B-94B0-39E8A3C44CB5}" name="Reference"/>
    <tableColumn id="3" xr3:uid="{F207BC45-024B-4372-BAA1-B2242F37859F}" name="Value"/>
    <tableColumn id="4" xr3:uid="{19F02A14-C055-4FBF-BC2E-BAB3411B7025}" name="Description"/>
    <tableColumn id="7" xr3:uid="{3A2CD7E8-0135-4163-99A0-8A17937F6860}" name="Supplier"/>
    <tableColumn id="8" xr3:uid="{1BDA2D0E-5E80-4FC2-9EA0-0CF6713A1384}" name="MPN"/>
    <tableColumn id="9" xr3:uid="{77EDE6CB-1E93-4293-8D2A-A7F21E3DADA7}" name="Order Code"/>
    <tableColumn id="10" xr3:uid="{E06AC1F1-628B-4489-9E67-D245F9B724CA}" name="Price Per" dataDxfId="27"/>
    <tableColumn id="11" xr3:uid="{F219B21B-C31F-4D25-AC16-B4B263345556}" name="Qty" totalsRowFunction="sum"/>
    <tableColumn id="12" xr3:uid="{2A236FD5-98A1-40E6-BD0D-0784CAE52DCA}" name="Min Qty"/>
    <tableColumn id="13" xr3:uid="{5E386B15-D042-4A73-AB5F-8A12882A44FA}" name="Order Qty" totalsRowFunction="sum">
      <calculatedColumnFormula>IF(Table2[[#This Row],[Qty]]&gt;Table2[[#This Row],[Min Qty]],Table2[[#This Row],[Qty]],Table2[[#This Row],[Min Qty]])</calculatedColumnFormula>
    </tableColumn>
    <tableColumn id="16" xr3:uid="{EFDE0F5A-E2EA-47CE-866B-610270052235}" name="Total Price" totalsRowFunction="sum" dataDxfId="26" totalsRowDxfId="24">
      <calculatedColumnFormula>Table2[[#This Row],[Price Per]]*Table2[[#This Row],[Order Qty]]</calculatedColumnFormula>
    </tableColumn>
    <tableColumn id="14" xr3:uid="{A758721E-64A6-400D-BBAA-4DF3A8E3D1DA}" name="Supplier Link"/>
    <tableColumn id="15" xr3:uid="{14A01B08-ABFA-44A6-965A-E1C508174ACE}" name="Column1" totalsRowFunction="count" dataDxfId="28" totalsRowDxfId="25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D7E2-9B3A-44F1-8476-426BBC3BF19C}">
  <dimension ref="A1:AK32"/>
  <sheetViews>
    <sheetView tabSelected="1" topLeftCell="B1" workbookViewId="0">
      <selection activeCell="R22" sqref="R22"/>
    </sheetView>
  </sheetViews>
  <sheetFormatPr defaultColWidth="0" defaultRowHeight="14.4" zeroHeight="1" x14ac:dyDescent="0.3"/>
  <cols>
    <col min="1" max="1" width="5.88671875" bestFit="1" customWidth="1"/>
    <col min="2" max="2" width="11.88671875" customWidth="1"/>
    <col min="3" max="3" width="20.33203125" customWidth="1"/>
    <col min="4" max="4" width="23.77734375" customWidth="1"/>
    <col min="5" max="5" width="10.6640625" customWidth="1"/>
    <col min="6" max="6" width="12.5546875" customWidth="1"/>
    <col min="7" max="7" width="10.21875" customWidth="1"/>
    <col min="8" max="8" width="10.109375" customWidth="1"/>
    <col min="9" max="13" width="8.77734375" customWidth="1"/>
    <col min="14" max="14" width="9.77734375" customWidth="1"/>
    <col min="15" max="15" width="8" customWidth="1"/>
    <col min="16" max="16" width="1.109375" customWidth="1"/>
    <col min="17" max="17" width="8.88671875" customWidth="1"/>
    <col min="18" max="18" width="11.6640625" bestFit="1" customWidth="1"/>
    <col min="19" max="19" width="9.21875" customWidth="1"/>
    <col min="20" max="20" width="8.88671875" customWidth="1"/>
    <col min="21" max="37" width="0" hidden="1" customWidth="1"/>
    <col min="38" max="16384" width="8.88671875" hidden="1"/>
  </cols>
  <sheetData>
    <row r="1" spans="1:19" x14ac:dyDescent="0.3">
      <c r="A1" t="s">
        <v>154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144</v>
      </c>
      <c r="K1" t="s">
        <v>145</v>
      </c>
      <c r="L1" t="s">
        <v>146</v>
      </c>
      <c r="M1" t="s">
        <v>142</v>
      </c>
      <c r="N1" s="4" t="s">
        <v>139</v>
      </c>
      <c r="O1" t="s">
        <v>9</v>
      </c>
      <c r="P1" s="3" t="s">
        <v>140</v>
      </c>
    </row>
    <row r="2" spans="1:19" x14ac:dyDescent="0.3">
      <c r="A2" t="s">
        <v>155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4245943</v>
      </c>
      <c r="H2" s="4">
        <v>1.06</v>
      </c>
      <c r="I2">
        <v>1</v>
      </c>
      <c r="J2">
        <v>1</v>
      </c>
      <c r="K2">
        <f>Table18[[#This Row],[Qty]]*Table18[[#This Row],[Board Qty]]</f>
        <v>1</v>
      </c>
      <c r="L2">
        <v>5</v>
      </c>
      <c r="M2">
        <f>IF(Table18[[#This Row],[Total Qty]]&gt;Table18[[#This Row],[Min Order]],Table18[[#This Row],[Total Qty]],Table18[[#This Row],[Min Order]])</f>
        <v>5</v>
      </c>
      <c r="N2" s="4">
        <f>Table18[[#This Row],[Price Per]]*Table18[[#This Row],[Order Qty]]</f>
        <v>5.3000000000000007</v>
      </c>
      <c r="O2" t="s">
        <v>15</v>
      </c>
      <c r="P2" s="2" t="s">
        <v>11</v>
      </c>
    </row>
    <row r="3" spans="1:19" x14ac:dyDescent="0.3">
      <c r="A3" t="s">
        <v>155</v>
      </c>
      <c r="B3" t="s">
        <v>16</v>
      </c>
      <c r="C3" t="s">
        <v>17</v>
      </c>
      <c r="D3" t="s">
        <v>18</v>
      </c>
      <c r="E3" t="s">
        <v>13</v>
      </c>
      <c r="F3" t="s">
        <v>17</v>
      </c>
      <c r="G3">
        <v>1269406</v>
      </c>
      <c r="H3" s="4">
        <v>0.37</v>
      </c>
      <c r="I3">
        <v>1</v>
      </c>
      <c r="J3">
        <v>1</v>
      </c>
      <c r="K3">
        <f>Table18[[#This Row],[Qty]]*Table18[[#This Row],[Board Qty]]</f>
        <v>1</v>
      </c>
      <c r="L3">
        <v>5</v>
      </c>
      <c r="M3">
        <f>IF(Table18[[#This Row],[Total Qty]]&gt;Table18[[#This Row],[Min Order]],Table18[[#This Row],[Total Qty]],Table18[[#This Row],[Min Order]])</f>
        <v>5</v>
      </c>
      <c r="N3" s="4">
        <f>Table18[[#This Row],[Price Per]]*Table18[[#This Row],[Order Qty]]</f>
        <v>1.85</v>
      </c>
      <c r="O3" t="s">
        <v>19</v>
      </c>
      <c r="P3" s="2" t="s">
        <v>11</v>
      </c>
      <c r="R3" s="5" t="s">
        <v>147</v>
      </c>
      <c r="S3" s="6">
        <v>5.95</v>
      </c>
    </row>
    <row r="4" spans="1:19" x14ac:dyDescent="0.3">
      <c r="A4" t="s">
        <v>155</v>
      </c>
      <c r="B4" t="s">
        <v>20</v>
      </c>
      <c r="C4" t="s">
        <v>21</v>
      </c>
      <c r="D4" t="s">
        <v>22</v>
      </c>
      <c r="E4" t="s">
        <v>13</v>
      </c>
      <c r="F4" t="s">
        <v>23</v>
      </c>
      <c r="G4">
        <v>4072044</v>
      </c>
      <c r="H4" s="4">
        <v>0.6</v>
      </c>
      <c r="I4">
        <v>1</v>
      </c>
      <c r="J4">
        <v>1</v>
      </c>
      <c r="K4">
        <f>Table18[[#This Row],[Qty]]*Table18[[#This Row],[Board Qty]]</f>
        <v>1</v>
      </c>
      <c r="L4">
        <v>5</v>
      </c>
      <c r="M4">
        <f>IF(Table18[[#This Row],[Total Qty]]&gt;Table18[[#This Row],[Min Order]],Table18[[#This Row],[Total Qty]],Table18[[#This Row],[Min Order]])</f>
        <v>5</v>
      </c>
      <c r="N4" s="4">
        <f>Table18[[#This Row],[Price Per]]*Table18[[#This Row],[Order Qty]]</f>
        <v>3</v>
      </c>
      <c r="O4" t="s">
        <v>24</v>
      </c>
      <c r="P4" s="2" t="s">
        <v>11</v>
      </c>
      <c r="R4" s="5" t="s">
        <v>148</v>
      </c>
      <c r="S4" s="6">
        <v>15.65</v>
      </c>
    </row>
    <row r="5" spans="1:19" x14ac:dyDescent="0.3">
      <c r="A5" t="s">
        <v>155</v>
      </c>
      <c r="B5" t="s">
        <v>25</v>
      </c>
      <c r="C5" t="s">
        <v>26</v>
      </c>
      <c r="D5" t="s">
        <v>27</v>
      </c>
      <c r="E5" t="s">
        <v>13</v>
      </c>
      <c r="F5" t="s">
        <v>28</v>
      </c>
      <c r="G5">
        <v>2614940</v>
      </c>
      <c r="H5" s="4">
        <v>1.87</v>
      </c>
      <c r="I5">
        <v>1</v>
      </c>
      <c r="J5">
        <v>1</v>
      </c>
      <c r="K5">
        <f>Table18[[#This Row],[Qty]]*Table18[[#This Row],[Board Qty]]</f>
        <v>1</v>
      </c>
      <c r="L5">
        <v>1</v>
      </c>
      <c r="M5">
        <f>IF(Table18[[#This Row],[Total Qty]]&gt;Table18[[#This Row],[Min Order]],Table18[[#This Row],[Total Qty]],Table18[[#This Row],[Min Order]])</f>
        <v>1</v>
      </c>
      <c r="N5" s="4">
        <f>Table18[[#This Row],[Price Per]]*Table18[[#This Row],[Order Qty]]</f>
        <v>1.87</v>
      </c>
      <c r="O5" t="s">
        <v>29</v>
      </c>
      <c r="P5" s="2" t="s">
        <v>11</v>
      </c>
      <c r="R5" s="5" t="s">
        <v>149</v>
      </c>
      <c r="S5" s="6">
        <v>2.97</v>
      </c>
    </row>
    <row r="6" spans="1:19" x14ac:dyDescent="0.3">
      <c r="A6" t="s">
        <v>155</v>
      </c>
      <c r="B6" t="s">
        <v>30</v>
      </c>
      <c r="C6" t="s">
        <v>31</v>
      </c>
      <c r="D6" t="s">
        <v>32</v>
      </c>
      <c r="E6" t="s">
        <v>13</v>
      </c>
      <c r="F6" t="s">
        <v>33</v>
      </c>
      <c r="G6">
        <v>2924867</v>
      </c>
      <c r="H6" s="4">
        <v>1.01</v>
      </c>
      <c r="I6">
        <v>1</v>
      </c>
      <c r="J6">
        <v>1</v>
      </c>
      <c r="K6">
        <f>Table18[[#This Row],[Qty]]*Table18[[#This Row],[Board Qty]]</f>
        <v>1</v>
      </c>
      <c r="L6">
        <v>1</v>
      </c>
      <c r="M6">
        <f>IF(Table18[[#This Row],[Total Qty]]&gt;Table18[[#This Row],[Min Order]],Table18[[#This Row],[Total Qty]],Table18[[#This Row],[Min Order]])</f>
        <v>1</v>
      </c>
      <c r="N6" s="4">
        <f>Table18[[#This Row],[Price Per]]*Table18[[#This Row],[Order Qty]]</f>
        <v>1.01</v>
      </c>
      <c r="O6" t="s">
        <v>34</v>
      </c>
      <c r="P6" s="2" t="s">
        <v>11</v>
      </c>
      <c r="R6" s="5" t="s">
        <v>150</v>
      </c>
      <c r="S6" s="6">
        <v>8.1999999999999993</v>
      </c>
    </row>
    <row r="7" spans="1:19" x14ac:dyDescent="0.3">
      <c r="A7" t="s">
        <v>155</v>
      </c>
      <c r="B7" t="s">
        <v>35</v>
      </c>
      <c r="C7" t="s">
        <v>36</v>
      </c>
      <c r="D7" t="s">
        <v>37</v>
      </c>
      <c r="E7" t="s">
        <v>13</v>
      </c>
      <c r="F7" t="s">
        <v>38</v>
      </c>
      <c r="G7">
        <v>1462758</v>
      </c>
      <c r="H7" s="4">
        <v>1.54</v>
      </c>
      <c r="I7">
        <v>1</v>
      </c>
      <c r="J7">
        <v>1</v>
      </c>
      <c r="K7">
        <f>Table18[[#This Row],[Qty]]*Table18[[#This Row],[Board Qty]]</f>
        <v>1</v>
      </c>
      <c r="L7">
        <v>1</v>
      </c>
      <c r="M7">
        <f>IF(Table18[[#This Row],[Total Qty]]&gt;Table18[[#This Row],[Min Order]],Table18[[#This Row],[Total Qty]],Table18[[#This Row],[Min Order]])</f>
        <v>1</v>
      </c>
      <c r="N7" s="4">
        <f>Table18[[#This Row],[Price Per]]*Table18[[#This Row],[Order Qty]]</f>
        <v>1.54</v>
      </c>
      <c r="O7" t="s">
        <v>39</v>
      </c>
      <c r="P7" s="2" t="s">
        <v>11</v>
      </c>
      <c r="R7" s="5" t="s">
        <v>151</v>
      </c>
      <c r="S7" s="6">
        <v>-11.13</v>
      </c>
    </row>
    <row r="8" spans="1:19" x14ac:dyDescent="0.3">
      <c r="A8" t="s">
        <v>155</v>
      </c>
      <c r="B8" t="s">
        <v>40</v>
      </c>
      <c r="C8" t="s">
        <v>41</v>
      </c>
      <c r="D8" t="s">
        <v>42</v>
      </c>
      <c r="E8" t="s">
        <v>13</v>
      </c>
      <c r="F8" t="s">
        <v>41</v>
      </c>
      <c r="G8">
        <v>1688320</v>
      </c>
      <c r="H8" s="4">
        <v>1.4</v>
      </c>
      <c r="I8">
        <v>2</v>
      </c>
      <c r="J8">
        <v>1</v>
      </c>
      <c r="K8">
        <f>Table18[[#This Row],[Qty]]*Table18[[#This Row],[Board Qty]]</f>
        <v>2</v>
      </c>
      <c r="L8">
        <v>1</v>
      </c>
      <c r="M8">
        <f>IF(Table18[[#This Row],[Total Qty]]&gt;Table18[[#This Row],[Min Order]],Table18[[#This Row],[Total Qty]],Table18[[#This Row],[Min Order]])</f>
        <v>2</v>
      </c>
      <c r="N8" s="4">
        <f>Table18[[#This Row],[Price Per]]*Table18[[#This Row],[Order Qty]]</f>
        <v>2.8</v>
      </c>
      <c r="O8" t="s">
        <v>43</v>
      </c>
      <c r="P8" s="2" t="s">
        <v>11</v>
      </c>
      <c r="R8" s="5" t="s">
        <v>152</v>
      </c>
      <c r="S8" s="6">
        <v>7.5</v>
      </c>
    </row>
    <row r="9" spans="1:19" x14ac:dyDescent="0.3">
      <c r="A9" t="s">
        <v>155</v>
      </c>
      <c r="B9" t="s">
        <v>44</v>
      </c>
      <c r="C9" t="s">
        <v>45</v>
      </c>
      <c r="D9" t="s">
        <v>46</v>
      </c>
      <c r="E9" t="s">
        <v>13</v>
      </c>
      <c r="F9" t="s">
        <v>47</v>
      </c>
      <c r="G9">
        <v>3103081</v>
      </c>
      <c r="H9" s="4">
        <v>0.95</v>
      </c>
      <c r="I9">
        <v>6</v>
      </c>
      <c r="J9">
        <v>1</v>
      </c>
      <c r="K9">
        <f>Table18[[#This Row],[Qty]]*Table18[[#This Row],[Board Qty]]</f>
        <v>6</v>
      </c>
      <c r="L9">
        <v>1</v>
      </c>
      <c r="M9">
        <f>IF(Table18[[#This Row],[Total Qty]]&gt;Table18[[#This Row],[Min Order]],Table18[[#This Row],[Total Qty]],Table18[[#This Row],[Min Order]])</f>
        <v>6</v>
      </c>
      <c r="N9" s="4">
        <f>Table18[[#This Row],[Price Per]]*Table18[[#This Row],[Order Qty]]</f>
        <v>5.6999999999999993</v>
      </c>
      <c r="O9" t="s">
        <v>48</v>
      </c>
      <c r="P9" s="2" t="s">
        <v>11</v>
      </c>
      <c r="R9" s="5" t="s">
        <v>157</v>
      </c>
      <c r="S9" s="6">
        <f>SUM(S3:S8)</f>
        <v>29.139999999999993</v>
      </c>
    </row>
    <row r="10" spans="1:19" x14ac:dyDescent="0.3">
      <c r="A10" t="s">
        <v>155</v>
      </c>
      <c r="B10" t="s">
        <v>49</v>
      </c>
      <c r="C10" t="s">
        <v>50</v>
      </c>
      <c r="D10" t="s">
        <v>51</v>
      </c>
      <c r="E10" t="s">
        <v>13</v>
      </c>
      <c r="F10" t="s">
        <v>52</v>
      </c>
      <c r="G10">
        <v>1864116</v>
      </c>
      <c r="H10" s="4">
        <v>0.25</v>
      </c>
      <c r="I10">
        <v>1</v>
      </c>
      <c r="J10">
        <v>1</v>
      </c>
      <c r="K10">
        <f>Table18[[#This Row],[Qty]]*Table18[[#This Row],[Board Qty]]</f>
        <v>1</v>
      </c>
      <c r="L10">
        <v>1</v>
      </c>
      <c r="M10">
        <f>IF(Table18[[#This Row],[Total Qty]]&gt;Table18[[#This Row],[Min Order]],Table18[[#This Row],[Total Qty]],Table18[[#This Row],[Min Order]])</f>
        <v>1</v>
      </c>
      <c r="N10" s="4">
        <f>Table18[[#This Row],[Price Per]]*Table18[[#This Row],[Order Qty]]</f>
        <v>0.25</v>
      </c>
      <c r="O10" t="s">
        <v>53</v>
      </c>
      <c r="P10" s="2" t="s">
        <v>11</v>
      </c>
      <c r="R10" s="5"/>
      <c r="S10" s="6"/>
    </row>
    <row r="11" spans="1:19" x14ac:dyDescent="0.3">
      <c r="A11" t="s">
        <v>155</v>
      </c>
      <c r="B11" t="s">
        <v>54</v>
      </c>
      <c r="C11" t="s">
        <v>55</v>
      </c>
      <c r="D11" t="s">
        <v>56</v>
      </c>
      <c r="E11" t="s">
        <v>13</v>
      </c>
      <c r="F11" t="s">
        <v>57</v>
      </c>
      <c r="G11">
        <v>3796319</v>
      </c>
      <c r="H11" s="4">
        <v>0.13</v>
      </c>
      <c r="I11">
        <v>1</v>
      </c>
      <c r="J11">
        <v>1</v>
      </c>
      <c r="K11">
        <f>Table18[[#This Row],[Qty]]*Table18[[#This Row],[Board Qty]]</f>
        <v>1</v>
      </c>
      <c r="L11">
        <v>5</v>
      </c>
      <c r="M11">
        <f>IF(Table18[[#This Row],[Total Qty]]&gt;Table18[[#This Row],[Min Order]],Table18[[#This Row],[Total Qty]],Table18[[#This Row],[Min Order]])</f>
        <v>5</v>
      </c>
      <c r="N11" s="4">
        <f>Table18[[#This Row],[Price Per]]*Table18[[#This Row],[Order Qty]]</f>
        <v>0.65</v>
      </c>
      <c r="O11" t="s">
        <v>58</v>
      </c>
      <c r="P11" s="2" t="s">
        <v>11</v>
      </c>
      <c r="R11" s="5" t="s">
        <v>158</v>
      </c>
      <c r="S11" s="6">
        <f>Table18[[#Totals],[Total Price]]</f>
        <v>74.349999999999994</v>
      </c>
    </row>
    <row r="12" spans="1:19" x14ac:dyDescent="0.3">
      <c r="A12" t="s">
        <v>155</v>
      </c>
      <c r="B12" t="s">
        <v>59</v>
      </c>
      <c r="C12" t="s">
        <v>60</v>
      </c>
      <c r="D12" t="s">
        <v>61</v>
      </c>
      <c r="E12" t="s">
        <v>13</v>
      </c>
      <c r="F12" t="s">
        <v>62</v>
      </c>
      <c r="G12">
        <v>3796306</v>
      </c>
      <c r="H12" s="4">
        <v>0.13</v>
      </c>
      <c r="I12">
        <v>2</v>
      </c>
      <c r="J12">
        <v>1</v>
      </c>
      <c r="K12">
        <f>Table18[[#This Row],[Qty]]*Table18[[#This Row],[Board Qty]]</f>
        <v>2</v>
      </c>
      <c r="L12">
        <v>5</v>
      </c>
      <c r="M12">
        <f>IF(Table18[[#This Row],[Total Qty]]&gt;Table18[[#This Row],[Min Order]],Table18[[#This Row],[Total Qty]],Table18[[#This Row],[Min Order]])</f>
        <v>5</v>
      </c>
      <c r="N12" s="4">
        <f>Table18[[#This Row],[Price Per]]*Table18[[#This Row],[Order Qty]]</f>
        <v>0.65</v>
      </c>
      <c r="O12" t="s">
        <v>63</v>
      </c>
      <c r="P12" s="2" t="s">
        <v>11</v>
      </c>
      <c r="R12" s="5" t="s">
        <v>153</v>
      </c>
      <c r="S12" s="6">
        <f>SUM(S9:S11)</f>
        <v>103.48999999999998</v>
      </c>
    </row>
    <row r="13" spans="1:19" x14ac:dyDescent="0.3">
      <c r="A13" t="s">
        <v>155</v>
      </c>
      <c r="B13" t="s">
        <v>65</v>
      </c>
      <c r="C13" t="s">
        <v>66</v>
      </c>
      <c r="D13" t="s">
        <v>67</v>
      </c>
      <c r="E13" t="s">
        <v>13</v>
      </c>
      <c r="F13" t="s">
        <v>68</v>
      </c>
      <c r="G13">
        <v>4128033</v>
      </c>
      <c r="H13" s="4">
        <v>1.62</v>
      </c>
      <c r="I13">
        <v>1</v>
      </c>
      <c r="J13">
        <v>1</v>
      </c>
      <c r="K13">
        <f>Table18[[#This Row],[Qty]]*Table18[[#This Row],[Board Qty]]</f>
        <v>1</v>
      </c>
      <c r="L13">
        <v>1</v>
      </c>
      <c r="M13">
        <f>IF(Table18[[#This Row],[Total Qty]]&gt;Table18[[#This Row],[Min Order]],Table18[[#This Row],[Total Qty]],Table18[[#This Row],[Min Order]])</f>
        <v>1</v>
      </c>
      <c r="N13" s="4">
        <f>Table18[[#This Row],[Price Per]]*Table18[[#This Row],[Order Qty]]</f>
        <v>1.62</v>
      </c>
      <c r="O13" t="s">
        <v>69</v>
      </c>
      <c r="P13" s="2" t="s">
        <v>11</v>
      </c>
      <c r="R13" s="1" t="s">
        <v>159</v>
      </c>
    </row>
    <row r="14" spans="1:19" x14ac:dyDescent="0.3">
      <c r="A14" t="s">
        <v>155</v>
      </c>
      <c r="B14" t="s">
        <v>70</v>
      </c>
      <c r="C14" t="s">
        <v>71</v>
      </c>
      <c r="D14" t="s">
        <v>72</v>
      </c>
      <c r="E14" t="s">
        <v>13</v>
      </c>
      <c r="F14" t="s">
        <v>73</v>
      </c>
      <c r="G14">
        <v>2534283</v>
      </c>
      <c r="H14" s="4">
        <v>0.32</v>
      </c>
      <c r="I14">
        <v>1</v>
      </c>
      <c r="J14">
        <v>1</v>
      </c>
      <c r="K14">
        <f>Table18[[#This Row],[Qty]]*Table18[[#This Row],[Board Qty]]</f>
        <v>1</v>
      </c>
      <c r="L14">
        <v>5</v>
      </c>
      <c r="M14">
        <f>IF(Table18[[#This Row],[Total Qty]]&gt;Table18[[#This Row],[Min Order]],Table18[[#This Row],[Total Qty]],Table18[[#This Row],[Min Order]])</f>
        <v>5</v>
      </c>
      <c r="N14" s="4">
        <f>Table18[[#This Row],[Price Per]]*Table18[[#This Row],[Order Qty]]</f>
        <v>1.6</v>
      </c>
      <c r="O14" t="s">
        <v>74</v>
      </c>
      <c r="P14" s="2" t="s">
        <v>11</v>
      </c>
    </row>
    <row r="15" spans="1:19" x14ac:dyDescent="0.3">
      <c r="A15" t="s">
        <v>155</v>
      </c>
      <c r="B15" t="s">
        <v>75</v>
      </c>
      <c r="C15" t="s">
        <v>76</v>
      </c>
      <c r="D15" t="s">
        <v>77</v>
      </c>
      <c r="E15" t="s">
        <v>13</v>
      </c>
      <c r="F15" t="s">
        <v>78</v>
      </c>
      <c r="G15">
        <v>3121547</v>
      </c>
      <c r="H15" s="4">
        <v>1.85</v>
      </c>
      <c r="I15">
        <v>1</v>
      </c>
      <c r="J15">
        <v>1</v>
      </c>
      <c r="K15">
        <f>Table18[[#This Row],[Qty]]*Table18[[#This Row],[Board Qty]]</f>
        <v>1</v>
      </c>
      <c r="L15">
        <v>1</v>
      </c>
      <c r="M15">
        <f>IF(Table18[[#This Row],[Total Qty]]&gt;Table18[[#This Row],[Min Order]],Table18[[#This Row],[Total Qty]],Table18[[#This Row],[Min Order]])</f>
        <v>1</v>
      </c>
      <c r="N15" s="4">
        <f>Table18[[#This Row],[Price Per]]*Table18[[#This Row],[Order Qty]]</f>
        <v>1.85</v>
      </c>
      <c r="O15" t="s">
        <v>79</v>
      </c>
      <c r="P15" s="2" t="s">
        <v>11</v>
      </c>
    </row>
    <row r="16" spans="1:19" x14ac:dyDescent="0.3">
      <c r="A16" t="s">
        <v>155</v>
      </c>
      <c r="B16" t="s">
        <v>80</v>
      </c>
      <c r="C16" t="s">
        <v>81</v>
      </c>
      <c r="D16" t="s">
        <v>82</v>
      </c>
      <c r="E16" t="s">
        <v>13</v>
      </c>
      <c r="F16" t="s">
        <v>83</v>
      </c>
      <c r="G16">
        <v>2907898</v>
      </c>
      <c r="H16" s="4">
        <v>1.72</v>
      </c>
      <c r="I16">
        <v>1</v>
      </c>
      <c r="J16">
        <v>1</v>
      </c>
      <c r="K16">
        <f>Table18[[#This Row],[Qty]]*Table18[[#This Row],[Board Qty]]</f>
        <v>1</v>
      </c>
      <c r="L16">
        <v>1</v>
      </c>
      <c r="M16">
        <f>IF(Table18[[#This Row],[Total Qty]]&gt;Table18[[#This Row],[Min Order]],Table18[[#This Row],[Total Qty]],Table18[[#This Row],[Min Order]])</f>
        <v>1</v>
      </c>
      <c r="N16" s="4">
        <f>Table18[[#This Row],[Price Per]]*Table18[[#This Row],[Order Qty]]</f>
        <v>1.72</v>
      </c>
      <c r="O16" t="s">
        <v>84</v>
      </c>
      <c r="P16" s="2" t="s">
        <v>11</v>
      </c>
    </row>
    <row r="17" spans="1:16" x14ac:dyDescent="0.3">
      <c r="A17" t="s">
        <v>155</v>
      </c>
      <c r="B17" t="s">
        <v>85</v>
      </c>
      <c r="C17" t="s">
        <v>86</v>
      </c>
      <c r="D17" t="s">
        <v>87</v>
      </c>
      <c r="E17" t="s">
        <v>13</v>
      </c>
      <c r="F17" t="s">
        <v>88</v>
      </c>
      <c r="G17">
        <v>4551122</v>
      </c>
      <c r="H17" s="4">
        <v>0.52</v>
      </c>
      <c r="I17">
        <v>1</v>
      </c>
      <c r="J17">
        <v>1</v>
      </c>
      <c r="K17">
        <f>Table18[[#This Row],[Qty]]*Table18[[#This Row],[Board Qty]]</f>
        <v>1</v>
      </c>
      <c r="L17">
        <v>1</v>
      </c>
      <c r="M17">
        <f>IF(Table18[[#This Row],[Total Qty]]&gt;Table18[[#This Row],[Min Order]],Table18[[#This Row],[Total Qty]],Table18[[#This Row],[Min Order]])</f>
        <v>1</v>
      </c>
      <c r="N17" s="4">
        <f>Table18[[#This Row],[Price Per]]*Table18[[#This Row],[Order Qty]]</f>
        <v>0.52</v>
      </c>
      <c r="O17" t="s">
        <v>89</v>
      </c>
      <c r="P17" s="2" t="s">
        <v>11</v>
      </c>
    </row>
    <row r="18" spans="1:16" x14ac:dyDescent="0.3">
      <c r="A18" t="s">
        <v>155</v>
      </c>
      <c r="B18" t="s">
        <v>90</v>
      </c>
      <c r="C18" t="s">
        <v>91</v>
      </c>
      <c r="D18" t="s">
        <v>92</v>
      </c>
      <c r="E18" t="s">
        <v>13</v>
      </c>
      <c r="F18" t="s">
        <v>93</v>
      </c>
      <c r="G18">
        <v>2983883</v>
      </c>
      <c r="H18" s="4">
        <v>1.34</v>
      </c>
      <c r="I18">
        <v>1</v>
      </c>
      <c r="J18">
        <v>1</v>
      </c>
      <c r="K18">
        <f>Table18[[#This Row],[Qty]]*Table18[[#This Row],[Board Qty]]</f>
        <v>1</v>
      </c>
      <c r="L18">
        <v>1</v>
      </c>
      <c r="M18">
        <f>IF(Table18[[#This Row],[Total Qty]]&gt;Table18[[#This Row],[Min Order]],Table18[[#This Row],[Total Qty]],Table18[[#This Row],[Min Order]])</f>
        <v>1</v>
      </c>
      <c r="N18" s="4">
        <f>Table18[[#This Row],[Price Per]]*Table18[[#This Row],[Order Qty]]</f>
        <v>1.34</v>
      </c>
      <c r="O18" t="s">
        <v>94</v>
      </c>
      <c r="P18" s="2" t="s">
        <v>11</v>
      </c>
    </row>
    <row r="19" spans="1:16" x14ac:dyDescent="0.3">
      <c r="A19" t="s">
        <v>155</v>
      </c>
      <c r="B19" t="s">
        <v>95</v>
      </c>
      <c r="C19" t="s">
        <v>96</v>
      </c>
      <c r="D19" t="s">
        <v>97</v>
      </c>
      <c r="E19" t="s">
        <v>13</v>
      </c>
      <c r="F19" t="s">
        <v>98</v>
      </c>
      <c r="G19">
        <v>2991624</v>
      </c>
      <c r="H19" s="4">
        <v>3.49</v>
      </c>
      <c r="I19">
        <v>2</v>
      </c>
      <c r="J19">
        <v>1</v>
      </c>
      <c r="K19">
        <f>Table18[[#This Row],[Qty]]*Table18[[#This Row],[Board Qty]]</f>
        <v>2</v>
      </c>
      <c r="L19">
        <v>1</v>
      </c>
      <c r="M19">
        <f>IF(Table18[[#This Row],[Total Qty]]&gt;Table18[[#This Row],[Min Order]],Table18[[#This Row],[Total Qty]],Table18[[#This Row],[Min Order]])</f>
        <v>2</v>
      </c>
      <c r="N19" s="4">
        <f>Table18[[#This Row],[Price Per]]*Table18[[#This Row],[Order Qty]]</f>
        <v>6.98</v>
      </c>
      <c r="O19" t="s">
        <v>99</v>
      </c>
      <c r="P19" s="2" t="s">
        <v>11</v>
      </c>
    </row>
    <row r="20" spans="1:16" x14ac:dyDescent="0.3">
      <c r="A20" t="s">
        <v>155</v>
      </c>
      <c r="B20" t="s">
        <v>100</v>
      </c>
      <c r="C20" t="s">
        <v>101</v>
      </c>
      <c r="D20" t="s">
        <v>102</v>
      </c>
      <c r="E20" t="s">
        <v>13</v>
      </c>
      <c r="F20" t="s">
        <v>101</v>
      </c>
      <c r="G20">
        <v>4331750</v>
      </c>
      <c r="H20" s="4">
        <v>0.67</v>
      </c>
      <c r="I20">
        <v>1</v>
      </c>
      <c r="J20">
        <v>1</v>
      </c>
      <c r="K20">
        <f>Table18[[#This Row],[Qty]]*Table18[[#This Row],[Board Qty]]</f>
        <v>1</v>
      </c>
      <c r="L20">
        <v>1</v>
      </c>
      <c r="M20">
        <f>IF(Table18[[#This Row],[Total Qty]]&gt;Table18[[#This Row],[Min Order]],Table18[[#This Row],[Total Qty]],Table18[[#This Row],[Min Order]])</f>
        <v>1</v>
      </c>
      <c r="N20" s="4">
        <f>Table18[[#This Row],[Price Per]]*Table18[[#This Row],[Order Qty]]</f>
        <v>0.67</v>
      </c>
      <c r="O20" t="s">
        <v>103</v>
      </c>
      <c r="P20" s="2" t="s">
        <v>11</v>
      </c>
    </row>
    <row r="21" spans="1:16" x14ac:dyDescent="0.3">
      <c r="A21" t="s">
        <v>156</v>
      </c>
      <c r="B21" t="s">
        <v>106</v>
      </c>
      <c r="C21" t="s">
        <v>21</v>
      </c>
      <c r="D21" t="s">
        <v>22</v>
      </c>
      <c r="E21" t="s">
        <v>13</v>
      </c>
      <c r="F21" t="s">
        <v>23</v>
      </c>
      <c r="G21">
        <v>4072044</v>
      </c>
      <c r="H21" s="4">
        <v>0.12</v>
      </c>
      <c r="I21">
        <v>2</v>
      </c>
      <c r="J21">
        <v>1</v>
      </c>
      <c r="K21">
        <f>Table18[[#This Row],[Qty]]*Table18[[#This Row],[Board Qty]]</f>
        <v>2</v>
      </c>
      <c r="L21">
        <v>5</v>
      </c>
      <c r="M21">
        <f>IF(Table18[[#This Row],[Total Qty]]&gt;Table18[[#This Row],[Min Order]],Table18[[#This Row],[Total Qty]],Table18[[#This Row],[Min Order]])</f>
        <v>5</v>
      </c>
      <c r="N21" s="4">
        <f>Table18[[#This Row],[Price Per]]*Table18[[#This Row],[Order Qty]]</f>
        <v>0.6</v>
      </c>
      <c r="O21" t="s">
        <v>24</v>
      </c>
      <c r="P21" s="2" t="s">
        <v>11</v>
      </c>
    </row>
    <row r="22" spans="1:16" x14ac:dyDescent="0.3">
      <c r="A22" t="s">
        <v>156</v>
      </c>
      <c r="B22" t="s">
        <v>107</v>
      </c>
      <c r="C22" t="s">
        <v>108</v>
      </c>
      <c r="D22" t="s">
        <v>109</v>
      </c>
      <c r="E22" t="s">
        <v>13</v>
      </c>
      <c r="F22" t="s">
        <v>110</v>
      </c>
      <c r="G22">
        <v>4220281</v>
      </c>
      <c r="H22" s="4">
        <v>0.39</v>
      </c>
      <c r="I22">
        <v>1</v>
      </c>
      <c r="J22">
        <v>1</v>
      </c>
      <c r="K22">
        <f>Table18[[#This Row],[Qty]]*Table18[[#This Row],[Board Qty]]</f>
        <v>1</v>
      </c>
      <c r="L22">
        <v>5</v>
      </c>
      <c r="M22">
        <f>IF(Table18[[#This Row],[Total Qty]]&gt;Table18[[#This Row],[Min Order]],Table18[[#This Row],[Total Qty]],Table18[[#This Row],[Min Order]])</f>
        <v>5</v>
      </c>
      <c r="N22" s="4">
        <f>Table18[[#This Row],[Price Per]]*Table18[[#This Row],[Order Qty]]</f>
        <v>1.9500000000000002</v>
      </c>
      <c r="O22" t="s">
        <v>111</v>
      </c>
      <c r="P22" s="2" t="s">
        <v>11</v>
      </c>
    </row>
    <row r="23" spans="1:16" x14ac:dyDescent="0.3">
      <c r="A23" t="s">
        <v>156</v>
      </c>
      <c r="B23" t="s">
        <v>112</v>
      </c>
      <c r="C23" t="s">
        <v>113</v>
      </c>
      <c r="D23" t="s">
        <v>114</v>
      </c>
      <c r="E23" t="s">
        <v>13</v>
      </c>
      <c r="F23" t="s">
        <v>115</v>
      </c>
      <c r="G23">
        <v>2499130</v>
      </c>
      <c r="H23" s="4">
        <v>0.76</v>
      </c>
      <c r="I23">
        <v>1</v>
      </c>
      <c r="J23">
        <v>1</v>
      </c>
      <c r="K23">
        <f>Table18[[#This Row],[Qty]]*Table18[[#This Row],[Board Qty]]</f>
        <v>1</v>
      </c>
      <c r="L23">
        <v>1</v>
      </c>
      <c r="M23">
        <f>IF(Table18[[#This Row],[Total Qty]]&gt;Table18[[#This Row],[Min Order]],Table18[[#This Row],[Total Qty]],Table18[[#This Row],[Min Order]])</f>
        <v>1</v>
      </c>
      <c r="N23" s="4">
        <f>Table18[[#This Row],[Price Per]]*Table18[[#This Row],[Order Qty]]</f>
        <v>0.76</v>
      </c>
      <c r="O23" t="s">
        <v>116</v>
      </c>
      <c r="P23" s="2" t="s">
        <v>11</v>
      </c>
    </row>
    <row r="24" spans="1:16" x14ac:dyDescent="0.3">
      <c r="A24" t="s">
        <v>156</v>
      </c>
      <c r="B24" t="s">
        <v>117</v>
      </c>
      <c r="C24" t="s">
        <v>118</v>
      </c>
      <c r="D24" t="s">
        <v>119</v>
      </c>
      <c r="E24" t="s">
        <v>13</v>
      </c>
      <c r="F24" t="s">
        <v>118</v>
      </c>
      <c r="G24">
        <v>3365016</v>
      </c>
      <c r="H24" s="4">
        <v>0.84</v>
      </c>
      <c r="I24">
        <v>3</v>
      </c>
      <c r="J24">
        <v>1</v>
      </c>
      <c r="K24">
        <f>Table18[[#This Row],[Qty]]*Table18[[#This Row],[Board Qty]]</f>
        <v>3</v>
      </c>
      <c r="L24">
        <v>10</v>
      </c>
      <c r="M24">
        <f>IF(Table18[[#This Row],[Total Qty]]&gt;Table18[[#This Row],[Min Order]],Table18[[#This Row],[Total Qty]],Table18[[#This Row],[Min Order]])</f>
        <v>10</v>
      </c>
      <c r="N24" s="4">
        <f>Table18[[#This Row],[Price Per]]*Table18[[#This Row],[Order Qty]]</f>
        <v>8.4</v>
      </c>
      <c r="O24" t="s">
        <v>120</v>
      </c>
      <c r="P24" s="2" t="s">
        <v>11</v>
      </c>
    </row>
    <row r="25" spans="1:16" x14ac:dyDescent="0.3">
      <c r="A25" t="s">
        <v>156</v>
      </c>
      <c r="B25" t="s">
        <v>121</v>
      </c>
      <c r="C25" t="s">
        <v>122</v>
      </c>
      <c r="D25" t="s">
        <v>123</v>
      </c>
      <c r="E25" t="s">
        <v>13</v>
      </c>
      <c r="F25" t="s">
        <v>124</v>
      </c>
      <c r="G25">
        <v>1688345</v>
      </c>
      <c r="H25" s="4">
        <v>0.6</v>
      </c>
      <c r="I25">
        <v>2</v>
      </c>
      <c r="J25">
        <v>1</v>
      </c>
      <c r="K25">
        <f>Table18[[#This Row],[Qty]]*Table18[[#This Row],[Board Qty]]</f>
        <v>2</v>
      </c>
      <c r="L25">
        <v>10</v>
      </c>
      <c r="M25">
        <f>IF(Table18[[#This Row],[Total Qty]]&gt;Table18[[#This Row],[Min Order]],Table18[[#This Row],[Total Qty]],Table18[[#This Row],[Min Order]])</f>
        <v>10</v>
      </c>
      <c r="N25" s="4">
        <f>Table18[[#This Row],[Price Per]]*Table18[[#This Row],[Order Qty]]</f>
        <v>6</v>
      </c>
      <c r="O25" t="s">
        <v>11</v>
      </c>
      <c r="P25" s="2" t="s">
        <v>11</v>
      </c>
    </row>
    <row r="26" spans="1:16" x14ac:dyDescent="0.3">
      <c r="A26" t="s">
        <v>156</v>
      </c>
      <c r="B26" t="s">
        <v>54</v>
      </c>
      <c r="C26" t="s">
        <v>60</v>
      </c>
      <c r="D26" t="s">
        <v>125</v>
      </c>
      <c r="E26" t="s">
        <v>13</v>
      </c>
      <c r="F26" t="s">
        <v>62</v>
      </c>
      <c r="G26">
        <v>3796306</v>
      </c>
      <c r="H26" s="4">
        <v>0.13</v>
      </c>
      <c r="I26">
        <v>1</v>
      </c>
      <c r="J26">
        <v>1</v>
      </c>
      <c r="K26">
        <f>Table18[[#This Row],[Qty]]*Table18[[#This Row],[Board Qty]]</f>
        <v>1</v>
      </c>
      <c r="L26">
        <v>5</v>
      </c>
      <c r="M26">
        <f>IF(Table18[[#This Row],[Total Qty]]&gt;Table18[[#This Row],[Min Order]],Table18[[#This Row],[Total Qty]],Table18[[#This Row],[Min Order]])</f>
        <v>5</v>
      </c>
      <c r="N26" s="4">
        <f>Table18[[#This Row],[Price Per]]*Table18[[#This Row],[Order Qty]]</f>
        <v>0.65</v>
      </c>
      <c r="O26" t="s">
        <v>11</v>
      </c>
      <c r="P26" s="2" t="s">
        <v>11</v>
      </c>
    </row>
    <row r="27" spans="1:16" x14ac:dyDescent="0.3">
      <c r="A27" t="s">
        <v>156</v>
      </c>
      <c r="B27" t="s">
        <v>126</v>
      </c>
      <c r="C27" t="s">
        <v>127</v>
      </c>
      <c r="D27" t="s">
        <v>128</v>
      </c>
      <c r="E27" t="s">
        <v>13</v>
      </c>
      <c r="F27" t="s">
        <v>11</v>
      </c>
      <c r="G27" t="s">
        <v>11</v>
      </c>
      <c r="H27" s="4" t="s">
        <v>11</v>
      </c>
      <c r="J27">
        <v>1</v>
      </c>
      <c r="K27">
        <f>Table18[[#This Row],[Qty]]*Table18[[#This Row],[Board Qty]]</f>
        <v>0</v>
      </c>
      <c r="L27" t="s">
        <v>11</v>
      </c>
      <c r="M27" t="str">
        <f>IF(Table18[[#This Row],[Total Qty]]&gt;Table18[[#This Row],[Min Order]],Table18[[#This Row],[Total Qty]],Table18[[#This Row],[Min Order]])</f>
        <v>~</v>
      </c>
      <c r="N27" s="4"/>
      <c r="O27" t="s">
        <v>129</v>
      </c>
      <c r="P27" s="2" t="s">
        <v>11</v>
      </c>
    </row>
    <row r="28" spans="1:16" x14ac:dyDescent="0.3">
      <c r="A28" t="s">
        <v>156</v>
      </c>
      <c r="B28" t="s">
        <v>64</v>
      </c>
      <c r="C28" t="s">
        <v>71</v>
      </c>
      <c r="D28" t="s">
        <v>72</v>
      </c>
      <c r="E28" t="s">
        <v>13</v>
      </c>
      <c r="F28" t="s">
        <v>73</v>
      </c>
      <c r="G28">
        <v>2534283</v>
      </c>
      <c r="H28" s="4">
        <v>1.91</v>
      </c>
      <c r="I28">
        <v>1</v>
      </c>
      <c r="J28">
        <v>1</v>
      </c>
      <c r="K28">
        <f>Table18[[#This Row],[Qty]]*Table18[[#This Row],[Board Qty]]</f>
        <v>1</v>
      </c>
      <c r="L28">
        <v>5</v>
      </c>
      <c r="M28">
        <f>IF(Table18[[#This Row],[Total Qty]]&gt;Table18[[#This Row],[Min Order]],Table18[[#This Row],[Total Qty]],Table18[[#This Row],[Min Order]])</f>
        <v>5</v>
      </c>
      <c r="N28" s="4">
        <f>Table18[[#This Row],[Price Per]]*Table18[[#This Row],[Order Qty]]</f>
        <v>9.5499999999999989</v>
      </c>
      <c r="O28" t="s">
        <v>74</v>
      </c>
      <c r="P28" s="2" t="s">
        <v>11</v>
      </c>
    </row>
    <row r="29" spans="1:16" x14ac:dyDescent="0.3">
      <c r="A29" t="s">
        <v>156</v>
      </c>
      <c r="B29" t="s">
        <v>65</v>
      </c>
      <c r="C29" t="s">
        <v>130</v>
      </c>
      <c r="D29" t="s">
        <v>131</v>
      </c>
      <c r="E29" t="s">
        <v>13</v>
      </c>
      <c r="F29" t="s">
        <v>132</v>
      </c>
      <c r="G29">
        <v>4137626</v>
      </c>
      <c r="H29" s="4">
        <v>0.96</v>
      </c>
      <c r="I29">
        <v>1</v>
      </c>
      <c r="J29">
        <v>1</v>
      </c>
      <c r="K29">
        <f>Table18[[#This Row],[Qty]]*Table18[[#This Row],[Board Qty]]</f>
        <v>1</v>
      </c>
      <c r="L29">
        <v>1</v>
      </c>
      <c r="M29">
        <f>IF(Table18[[#This Row],[Total Qty]]&gt;Table18[[#This Row],[Min Order]],Table18[[#This Row],[Total Qty]],Table18[[#This Row],[Min Order]])</f>
        <v>1</v>
      </c>
      <c r="N29" s="4">
        <f>Table18[[#This Row],[Price Per]]*Table18[[#This Row],[Order Qty]]</f>
        <v>0.96</v>
      </c>
      <c r="O29" t="s">
        <v>133</v>
      </c>
      <c r="P29" s="2" t="s">
        <v>11</v>
      </c>
    </row>
    <row r="30" spans="1:16" x14ac:dyDescent="0.3">
      <c r="A30" t="s">
        <v>156</v>
      </c>
      <c r="B30" t="s">
        <v>134</v>
      </c>
      <c r="C30" t="s">
        <v>135</v>
      </c>
      <c r="D30" t="s">
        <v>136</v>
      </c>
      <c r="E30" t="s">
        <v>13</v>
      </c>
      <c r="F30" t="s">
        <v>137</v>
      </c>
      <c r="G30">
        <v>2857615</v>
      </c>
      <c r="H30" s="4">
        <v>2.2799999999999998</v>
      </c>
      <c r="I30">
        <v>2</v>
      </c>
      <c r="J30">
        <v>1</v>
      </c>
      <c r="K30">
        <f>Table18[[#This Row],[Qty]]*Table18[[#This Row],[Board Qty]]</f>
        <v>2</v>
      </c>
      <c r="L30">
        <v>1</v>
      </c>
      <c r="M30">
        <f>IF(Table18[[#This Row],[Total Qty]]&gt;Table18[[#This Row],[Min Order]],Table18[[#This Row],[Total Qty]],Table18[[#This Row],[Min Order]])</f>
        <v>2</v>
      </c>
      <c r="N30" s="4">
        <f>Table18[[#This Row],[Price Per]]*Table18[[#This Row],[Order Qty]]</f>
        <v>4.5599999999999996</v>
      </c>
      <c r="O30" t="s">
        <v>138</v>
      </c>
      <c r="P30" s="2" t="s">
        <v>11</v>
      </c>
    </row>
    <row r="31" spans="1:16" x14ac:dyDescent="0.3">
      <c r="B31" s="5" t="s">
        <v>141</v>
      </c>
      <c r="C31" s="5"/>
      <c r="D31" s="5"/>
      <c r="E31" s="5"/>
      <c r="F31" s="5"/>
      <c r="G31" s="5"/>
      <c r="H31" s="5"/>
      <c r="I31" s="5">
        <f>SUBTOTAL(109,Table18[Qty])</f>
        <v>41</v>
      </c>
      <c r="J31" s="5"/>
      <c r="K31" s="5"/>
      <c r="L31" s="5"/>
      <c r="M31" s="5">
        <f>SUBTOTAL(109,Table18[Order Qty])</f>
        <v>94</v>
      </c>
      <c r="N31" s="6">
        <f>SUBTOTAL(109,Table18[Total Price])</f>
        <v>74.349999999999994</v>
      </c>
      <c r="P31" s="2">
        <f>SUBTOTAL(103,Table18[Column1])</f>
        <v>29</v>
      </c>
    </row>
    <row r="32" spans="1:16" x14ac:dyDescent="0.3"/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1D99-2C26-4E0A-A9BA-F381A0CA67BC}">
  <dimension ref="A1:N21"/>
  <sheetViews>
    <sheetView workbookViewId="0">
      <selection activeCell="G4" sqref="G4"/>
    </sheetView>
  </sheetViews>
  <sheetFormatPr defaultRowHeight="14.4" x14ac:dyDescent="0.3"/>
  <cols>
    <col min="1" max="1" width="16.88671875" bestFit="1" customWidth="1"/>
    <col min="2" max="2" width="16.44140625" bestFit="1" customWidth="1"/>
    <col min="3" max="3" width="32" customWidth="1"/>
    <col min="4" max="4" width="12.109375" customWidth="1"/>
    <col min="5" max="5" width="18.5546875" bestFit="1" customWidth="1"/>
    <col min="6" max="6" width="10.44140625" bestFit="1" customWidth="1"/>
    <col min="7" max="7" width="10.21875" customWidth="1"/>
    <col min="11" max="11" width="11.33203125" style="4" customWidth="1"/>
    <col min="12" max="12" width="9.77734375" customWidth="1"/>
    <col min="13" max="13" width="2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142</v>
      </c>
      <c r="K1" s="4" t="s">
        <v>139</v>
      </c>
      <c r="L1" t="s">
        <v>9</v>
      </c>
      <c r="M1" s="3" t="s">
        <v>140</v>
      </c>
    </row>
    <row r="2" spans="1:13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4245943</v>
      </c>
      <c r="G2" s="4">
        <v>1.06</v>
      </c>
      <c r="H2">
        <v>1</v>
      </c>
      <c r="I2">
        <v>5</v>
      </c>
      <c r="J2">
        <f>IF(Table1[[#This Row],[Qty]]&gt;Table1[[#This Row],[Min Qty]],Table1[[#This Row],[Qty]],Table1[[#This Row],[Min Qty]])</f>
        <v>5</v>
      </c>
      <c r="K2" s="4">
        <f>Table1[[#This Row],[Price Per]]*Table1[[#This Row],[Order Qty]]</f>
        <v>5.3000000000000007</v>
      </c>
      <c r="L2" t="s">
        <v>15</v>
      </c>
      <c r="M2" s="2" t="s">
        <v>11</v>
      </c>
    </row>
    <row r="3" spans="1:13" x14ac:dyDescent="0.3">
      <c r="A3" t="s">
        <v>16</v>
      </c>
      <c r="B3" t="s">
        <v>17</v>
      </c>
      <c r="C3" t="s">
        <v>18</v>
      </c>
      <c r="D3" t="s">
        <v>13</v>
      </c>
      <c r="E3" t="s">
        <v>17</v>
      </c>
      <c r="F3">
        <v>1269406</v>
      </c>
      <c r="G3" s="4">
        <v>0.37</v>
      </c>
      <c r="H3">
        <v>1</v>
      </c>
      <c r="I3">
        <v>5</v>
      </c>
      <c r="J3">
        <f>IF(Table1[[#This Row],[Qty]]&gt;Table1[[#This Row],[Min Qty]],Table1[[#This Row],[Qty]],Table1[[#This Row],[Min Qty]])</f>
        <v>5</v>
      </c>
      <c r="K3" s="4">
        <f>Table1[[#This Row],[Price Per]]*Table1[[#This Row],[Order Qty]]</f>
        <v>1.85</v>
      </c>
      <c r="L3" t="s">
        <v>19</v>
      </c>
      <c r="M3" s="2" t="s">
        <v>11</v>
      </c>
    </row>
    <row r="4" spans="1:13" x14ac:dyDescent="0.3">
      <c r="A4" t="s">
        <v>20</v>
      </c>
      <c r="B4" t="s">
        <v>21</v>
      </c>
      <c r="C4" t="s">
        <v>22</v>
      </c>
      <c r="D4" t="s">
        <v>13</v>
      </c>
      <c r="E4" t="s">
        <v>23</v>
      </c>
      <c r="F4">
        <v>4072044</v>
      </c>
      <c r="G4" s="4">
        <v>0.6</v>
      </c>
      <c r="H4">
        <v>1</v>
      </c>
      <c r="I4">
        <v>5</v>
      </c>
      <c r="J4">
        <f>IF(Table1[[#This Row],[Qty]]&gt;Table1[[#This Row],[Min Qty]],Table1[[#This Row],[Qty]],Table1[[#This Row],[Min Qty]])</f>
        <v>5</v>
      </c>
      <c r="K4" s="4">
        <f>Table1[[#This Row],[Price Per]]*Table1[[#This Row],[Order Qty]]</f>
        <v>3</v>
      </c>
      <c r="L4" t="s">
        <v>24</v>
      </c>
      <c r="M4" s="2" t="s">
        <v>11</v>
      </c>
    </row>
    <row r="5" spans="1:13" x14ac:dyDescent="0.3">
      <c r="A5" t="s">
        <v>25</v>
      </c>
      <c r="B5" t="s">
        <v>26</v>
      </c>
      <c r="C5" t="s">
        <v>27</v>
      </c>
      <c r="D5" t="s">
        <v>13</v>
      </c>
      <c r="E5" t="s">
        <v>28</v>
      </c>
      <c r="F5">
        <v>2614940</v>
      </c>
      <c r="G5" s="4">
        <v>1.87</v>
      </c>
      <c r="H5">
        <v>1</v>
      </c>
      <c r="I5">
        <v>1</v>
      </c>
      <c r="J5">
        <f>IF(Table1[[#This Row],[Qty]]&gt;Table1[[#This Row],[Min Qty]],Table1[[#This Row],[Qty]],Table1[[#This Row],[Min Qty]])</f>
        <v>1</v>
      </c>
      <c r="K5" s="4">
        <f>Table1[[#This Row],[Price Per]]*Table1[[#This Row],[Order Qty]]</f>
        <v>1.87</v>
      </c>
      <c r="L5" t="s">
        <v>29</v>
      </c>
      <c r="M5" s="2" t="s">
        <v>11</v>
      </c>
    </row>
    <row r="6" spans="1:13" x14ac:dyDescent="0.3">
      <c r="A6" t="s">
        <v>30</v>
      </c>
      <c r="B6" t="s">
        <v>31</v>
      </c>
      <c r="C6" t="s">
        <v>32</v>
      </c>
      <c r="D6" t="s">
        <v>13</v>
      </c>
      <c r="E6" t="s">
        <v>33</v>
      </c>
      <c r="F6">
        <v>2924867</v>
      </c>
      <c r="G6" s="4">
        <v>1.01</v>
      </c>
      <c r="H6">
        <v>1</v>
      </c>
      <c r="I6">
        <v>1</v>
      </c>
      <c r="J6">
        <f>IF(Table1[[#This Row],[Qty]]&gt;Table1[[#This Row],[Min Qty]],Table1[[#This Row],[Qty]],Table1[[#This Row],[Min Qty]])</f>
        <v>1</v>
      </c>
      <c r="K6" s="4">
        <f>Table1[[#This Row],[Price Per]]*Table1[[#This Row],[Order Qty]]</f>
        <v>1.01</v>
      </c>
      <c r="L6" t="s">
        <v>34</v>
      </c>
      <c r="M6" s="2" t="s">
        <v>11</v>
      </c>
    </row>
    <row r="7" spans="1:13" x14ac:dyDescent="0.3">
      <c r="A7" t="s">
        <v>35</v>
      </c>
      <c r="B7" t="s">
        <v>36</v>
      </c>
      <c r="C7" t="s">
        <v>37</v>
      </c>
      <c r="D7" t="s">
        <v>13</v>
      </c>
      <c r="E7" t="s">
        <v>38</v>
      </c>
      <c r="F7">
        <v>1462758</v>
      </c>
      <c r="G7" s="4">
        <v>1.54</v>
      </c>
      <c r="H7">
        <v>1</v>
      </c>
      <c r="I7">
        <v>1</v>
      </c>
      <c r="J7">
        <f>IF(Table1[[#This Row],[Qty]]&gt;Table1[[#This Row],[Min Qty]],Table1[[#This Row],[Qty]],Table1[[#This Row],[Min Qty]])</f>
        <v>1</v>
      </c>
      <c r="K7" s="4">
        <f>Table1[[#This Row],[Price Per]]*Table1[[#This Row],[Order Qty]]</f>
        <v>1.54</v>
      </c>
      <c r="L7" t="s">
        <v>39</v>
      </c>
      <c r="M7" s="2" t="s">
        <v>11</v>
      </c>
    </row>
    <row r="8" spans="1:13" x14ac:dyDescent="0.3">
      <c r="A8" t="s">
        <v>40</v>
      </c>
      <c r="B8" t="s">
        <v>41</v>
      </c>
      <c r="C8" t="s">
        <v>42</v>
      </c>
      <c r="D8" t="s">
        <v>13</v>
      </c>
      <c r="E8" t="s">
        <v>41</v>
      </c>
      <c r="F8">
        <v>1688320</v>
      </c>
      <c r="G8" s="4">
        <v>1.4</v>
      </c>
      <c r="H8">
        <v>2</v>
      </c>
      <c r="I8">
        <v>1</v>
      </c>
      <c r="J8">
        <f>IF(Table1[[#This Row],[Qty]]&gt;Table1[[#This Row],[Min Qty]],Table1[[#This Row],[Qty]],Table1[[#This Row],[Min Qty]])</f>
        <v>2</v>
      </c>
      <c r="K8" s="4">
        <f>Table1[[#This Row],[Price Per]]*Table1[[#This Row],[Order Qty]]</f>
        <v>2.8</v>
      </c>
      <c r="L8" t="s">
        <v>43</v>
      </c>
      <c r="M8" s="2" t="s">
        <v>11</v>
      </c>
    </row>
    <row r="9" spans="1:13" x14ac:dyDescent="0.3">
      <c r="A9" t="s">
        <v>44</v>
      </c>
      <c r="B9" t="s">
        <v>45</v>
      </c>
      <c r="C9" t="s">
        <v>46</v>
      </c>
      <c r="D9" t="s">
        <v>13</v>
      </c>
      <c r="E9" t="s">
        <v>47</v>
      </c>
      <c r="F9">
        <v>3103081</v>
      </c>
      <c r="G9" s="4">
        <v>0.95</v>
      </c>
      <c r="H9">
        <v>6</v>
      </c>
      <c r="I9">
        <v>1</v>
      </c>
      <c r="J9">
        <f>IF(Table1[[#This Row],[Qty]]&gt;Table1[[#This Row],[Min Qty]],Table1[[#This Row],[Qty]],Table1[[#This Row],[Min Qty]])</f>
        <v>6</v>
      </c>
      <c r="K9" s="4">
        <f>Table1[[#This Row],[Price Per]]*Table1[[#This Row],[Order Qty]]</f>
        <v>5.6999999999999993</v>
      </c>
      <c r="L9" t="s">
        <v>48</v>
      </c>
      <c r="M9" s="2" t="s">
        <v>11</v>
      </c>
    </row>
    <row r="10" spans="1:13" x14ac:dyDescent="0.3">
      <c r="A10" t="s">
        <v>49</v>
      </c>
      <c r="B10" t="s">
        <v>50</v>
      </c>
      <c r="C10" t="s">
        <v>51</v>
      </c>
      <c r="D10" t="s">
        <v>13</v>
      </c>
      <c r="E10" t="s">
        <v>52</v>
      </c>
      <c r="F10">
        <v>1864116</v>
      </c>
      <c r="G10" s="4">
        <v>0.25</v>
      </c>
      <c r="H10">
        <v>1</v>
      </c>
      <c r="I10">
        <v>1</v>
      </c>
      <c r="J10">
        <f>IF(Table1[[#This Row],[Qty]]&gt;Table1[[#This Row],[Min Qty]],Table1[[#This Row],[Qty]],Table1[[#This Row],[Min Qty]])</f>
        <v>1</v>
      </c>
      <c r="K10" s="4">
        <f>Table1[[#This Row],[Price Per]]*Table1[[#This Row],[Order Qty]]</f>
        <v>0.25</v>
      </c>
      <c r="L10" t="s">
        <v>53</v>
      </c>
      <c r="M10" s="2" t="s">
        <v>11</v>
      </c>
    </row>
    <row r="11" spans="1:13" x14ac:dyDescent="0.3">
      <c r="A11" t="s">
        <v>54</v>
      </c>
      <c r="B11" t="s">
        <v>55</v>
      </c>
      <c r="C11" t="s">
        <v>56</v>
      </c>
      <c r="D11" t="s">
        <v>13</v>
      </c>
      <c r="E11" t="s">
        <v>57</v>
      </c>
      <c r="F11">
        <v>3796319</v>
      </c>
      <c r="G11" s="4">
        <v>0.13</v>
      </c>
      <c r="H11">
        <v>1</v>
      </c>
      <c r="I11">
        <v>5</v>
      </c>
      <c r="J11">
        <f>IF(Table1[[#This Row],[Qty]]&gt;Table1[[#This Row],[Min Qty]],Table1[[#This Row],[Qty]],Table1[[#This Row],[Min Qty]])</f>
        <v>5</v>
      </c>
      <c r="K11" s="4">
        <f>Table1[[#This Row],[Price Per]]*Table1[[#This Row],[Order Qty]]</f>
        <v>0.65</v>
      </c>
      <c r="L11" t="s">
        <v>58</v>
      </c>
      <c r="M11" s="2" t="s">
        <v>11</v>
      </c>
    </row>
    <row r="12" spans="1:13" x14ac:dyDescent="0.3">
      <c r="A12" t="s">
        <v>59</v>
      </c>
      <c r="B12" t="s">
        <v>60</v>
      </c>
      <c r="C12" t="s">
        <v>61</v>
      </c>
      <c r="D12" t="s">
        <v>13</v>
      </c>
      <c r="E12" t="s">
        <v>62</v>
      </c>
      <c r="F12">
        <v>3796306</v>
      </c>
      <c r="G12" s="4">
        <v>0.13</v>
      </c>
      <c r="H12">
        <v>2</v>
      </c>
      <c r="I12">
        <v>5</v>
      </c>
      <c r="J12">
        <f>IF(Table1[[#This Row],[Qty]]&gt;Table1[[#This Row],[Min Qty]],Table1[[#This Row],[Qty]],Table1[[#This Row],[Min Qty]])</f>
        <v>5</v>
      </c>
      <c r="K12" s="4">
        <f>Table1[[#This Row],[Price Per]]*Table1[[#This Row],[Order Qty]]</f>
        <v>0.65</v>
      </c>
      <c r="L12" t="s">
        <v>63</v>
      </c>
      <c r="M12" s="2" t="s">
        <v>11</v>
      </c>
    </row>
    <row r="13" spans="1:13" x14ac:dyDescent="0.3">
      <c r="A13" t="s">
        <v>65</v>
      </c>
      <c r="B13" t="s">
        <v>66</v>
      </c>
      <c r="C13" t="s">
        <v>67</v>
      </c>
      <c r="D13" t="s">
        <v>13</v>
      </c>
      <c r="E13" t="s">
        <v>68</v>
      </c>
      <c r="F13">
        <v>4128033</v>
      </c>
      <c r="G13" s="4">
        <v>1.62</v>
      </c>
      <c r="H13">
        <v>1</v>
      </c>
      <c r="I13">
        <v>1</v>
      </c>
      <c r="J13">
        <f>IF(Table1[[#This Row],[Qty]]&gt;Table1[[#This Row],[Min Qty]],Table1[[#This Row],[Qty]],Table1[[#This Row],[Min Qty]])</f>
        <v>1</v>
      </c>
      <c r="K13" s="4">
        <f>Table1[[#This Row],[Price Per]]*Table1[[#This Row],[Order Qty]]</f>
        <v>1.62</v>
      </c>
      <c r="L13" t="s">
        <v>69</v>
      </c>
      <c r="M13" s="2" t="s">
        <v>11</v>
      </c>
    </row>
    <row r="14" spans="1:13" x14ac:dyDescent="0.3">
      <c r="A14" t="s">
        <v>70</v>
      </c>
      <c r="B14" t="s">
        <v>71</v>
      </c>
      <c r="C14" t="s">
        <v>72</v>
      </c>
      <c r="D14" t="s">
        <v>13</v>
      </c>
      <c r="E14" t="s">
        <v>73</v>
      </c>
      <c r="F14">
        <v>2534283</v>
      </c>
      <c r="G14" s="4">
        <v>0.32</v>
      </c>
      <c r="H14">
        <v>1</v>
      </c>
      <c r="I14">
        <v>5</v>
      </c>
      <c r="J14">
        <f>IF(Table1[[#This Row],[Qty]]&gt;Table1[[#This Row],[Min Qty]],Table1[[#This Row],[Qty]],Table1[[#This Row],[Min Qty]])</f>
        <v>5</v>
      </c>
      <c r="K14" s="4">
        <f>Table1[[#This Row],[Price Per]]*Table1[[#This Row],[Order Qty]]</f>
        <v>1.6</v>
      </c>
      <c r="L14" t="s">
        <v>74</v>
      </c>
      <c r="M14" s="2" t="s">
        <v>11</v>
      </c>
    </row>
    <row r="15" spans="1:13" x14ac:dyDescent="0.3">
      <c r="A15" t="s">
        <v>75</v>
      </c>
      <c r="B15" t="s">
        <v>76</v>
      </c>
      <c r="C15" t="s">
        <v>77</v>
      </c>
      <c r="D15" t="s">
        <v>13</v>
      </c>
      <c r="E15" t="s">
        <v>78</v>
      </c>
      <c r="F15">
        <v>3121547</v>
      </c>
      <c r="G15" s="4">
        <v>1.85</v>
      </c>
      <c r="H15">
        <v>1</v>
      </c>
      <c r="I15">
        <v>1</v>
      </c>
      <c r="J15">
        <f>IF(Table1[[#This Row],[Qty]]&gt;Table1[[#This Row],[Min Qty]],Table1[[#This Row],[Qty]],Table1[[#This Row],[Min Qty]])</f>
        <v>1</v>
      </c>
      <c r="K15" s="4">
        <f>Table1[[#This Row],[Price Per]]*Table1[[#This Row],[Order Qty]]</f>
        <v>1.85</v>
      </c>
      <c r="L15" t="s">
        <v>79</v>
      </c>
      <c r="M15" s="2" t="s">
        <v>11</v>
      </c>
    </row>
    <row r="16" spans="1:13" x14ac:dyDescent="0.3">
      <c r="A16" t="s">
        <v>80</v>
      </c>
      <c r="B16" t="s">
        <v>81</v>
      </c>
      <c r="C16" t="s">
        <v>82</v>
      </c>
      <c r="D16" t="s">
        <v>13</v>
      </c>
      <c r="E16" t="s">
        <v>83</v>
      </c>
      <c r="F16">
        <v>2907898</v>
      </c>
      <c r="G16" s="4">
        <v>1.72</v>
      </c>
      <c r="H16">
        <v>1</v>
      </c>
      <c r="I16">
        <v>1</v>
      </c>
      <c r="J16">
        <f>IF(Table1[[#This Row],[Qty]]&gt;Table1[[#This Row],[Min Qty]],Table1[[#This Row],[Qty]],Table1[[#This Row],[Min Qty]])</f>
        <v>1</v>
      </c>
      <c r="K16" s="4">
        <f>Table1[[#This Row],[Price Per]]*Table1[[#This Row],[Order Qty]]</f>
        <v>1.72</v>
      </c>
      <c r="L16" t="s">
        <v>84</v>
      </c>
      <c r="M16" s="2" t="s">
        <v>11</v>
      </c>
    </row>
    <row r="17" spans="1:13" x14ac:dyDescent="0.3">
      <c r="A17" t="s">
        <v>85</v>
      </c>
      <c r="B17" t="s">
        <v>86</v>
      </c>
      <c r="C17" t="s">
        <v>87</v>
      </c>
      <c r="D17" t="s">
        <v>13</v>
      </c>
      <c r="E17" t="s">
        <v>88</v>
      </c>
      <c r="F17">
        <v>4551122</v>
      </c>
      <c r="G17" s="4">
        <v>0.52</v>
      </c>
      <c r="H17">
        <v>1</v>
      </c>
      <c r="I17">
        <v>1</v>
      </c>
      <c r="J17">
        <f>IF(Table1[[#This Row],[Qty]]&gt;Table1[[#This Row],[Min Qty]],Table1[[#This Row],[Qty]],Table1[[#This Row],[Min Qty]])</f>
        <v>1</v>
      </c>
      <c r="K17" s="4">
        <f>Table1[[#This Row],[Price Per]]*Table1[[#This Row],[Order Qty]]</f>
        <v>0.52</v>
      </c>
      <c r="L17" t="s">
        <v>89</v>
      </c>
      <c r="M17" s="2" t="s">
        <v>11</v>
      </c>
    </row>
    <row r="18" spans="1:13" x14ac:dyDescent="0.3">
      <c r="A18" t="s">
        <v>90</v>
      </c>
      <c r="B18" t="s">
        <v>91</v>
      </c>
      <c r="C18" t="s">
        <v>92</v>
      </c>
      <c r="D18" t="s">
        <v>13</v>
      </c>
      <c r="E18" t="s">
        <v>93</v>
      </c>
      <c r="F18">
        <v>2983883</v>
      </c>
      <c r="G18" s="4">
        <v>1.34</v>
      </c>
      <c r="H18">
        <v>1</v>
      </c>
      <c r="I18">
        <v>1</v>
      </c>
      <c r="J18">
        <f>IF(Table1[[#This Row],[Qty]]&gt;Table1[[#This Row],[Min Qty]],Table1[[#This Row],[Qty]],Table1[[#This Row],[Min Qty]])</f>
        <v>1</v>
      </c>
      <c r="K18" s="4">
        <f>Table1[[#This Row],[Price Per]]*Table1[[#This Row],[Order Qty]]</f>
        <v>1.34</v>
      </c>
      <c r="L18" t="s">
        <v>94</v>
      </c>
      <c r="M18" s="2" t="s">
        <v>11</v>
      </c>
    </row>
    <row r="19" spans="1:13" x14ac:dyDescent="0.3">
      <c r="A19" t="s">
        <v>95</v>
      </c>
      <c r="B19" t="s">
        <v>96</v>
      </c>
      <c r="C19" t="s">
        <v>97</v>
      </c>
      <c r="D19" t="s">
        <v>13</v>
      </c>
      <c r="E19" t="s">
        <v>98</v>
      </c>
      <c r="F19">
        <v>2991624</v>
      </c>
      <c r="G19" s="4">
        <v>3.49</v>
      </c>
      <c r="H19">
        <v>2</v>
      </c>
      <c r="I19">
        <v>1</v>
      </c>
      <c r="J19">
        <f>IF(Table1[[#This Row],[Qty]]&gt;Table1[[#This Row],[Min Qty]],Table1[[#This Row],[Qty]],Table1[[#This Row],[Min Qty]])</f>
        <v>2</v>
      </c>
      <c r="K19" s="4">
        <f>Table1[[#This Row],[Price Per]]*Table1[[#This Row],[Order Qty]]</f>
        <v>6.98</v>
      </c>
      <c r="L19" t="s">
        <v>99</v>
      </c>
      <c r="M19" s="2" t="s">
        <v>11</v>
      </c>
    </row>
    <row r="20" spans="1:13" x14ac:dyDescent="0.3">
      <c r="A20" t="s">
        <v>100</v>
      </c>
      <c r="B20" t="s">
        <v>101</v>
      </c>
      <c r="C20" t="s">
        <v>102</v>
      </c>
      <c r="D20" t="s">
        <v>13</v>
      </c>
      <c r="E20" t="s">
        <v>101</v>
      </c>
      <c r="F20">
        <v>4331750</v>
      </c>
      <c r="G20" s="4">
        <v>0.67</v>
      </c>
      <c r="H20">
        <v>1</v>
      </c>
      <c r="I20">
        <v>1</v>
      </c>
      <c r="J20">
        <f>IF(Table1[[#This Row],[Qty]]&gt;Table1[[#This Row],[Min Qty]],Table1[[#This Row],[Qty]],Table1[[#This Row],[Min Qty]])</f>
        <v>1</v>
      </c>
      <c r="K20" s="4">
        <f>Table1[[#This Row],[Price Per]]*Table1[[#This Row],[Order Qty]]</f>
        <v>0.67</v>
      </c>
      <c r="L20" t="s">
        <v>103</v>
      </c>
      <c r="M20" s="2" t="s">
        <v>11</v>
      </c>
    </row>
    <row r="21" spans="1:13" x14ac:dyDescent="0.3">
      <c r="A21" t="s">
        <v>141</v>
      </c>
      <c r="H21">
        <f>SUBTOTAL(109,Table1[Qty])</f>
        <v>27</v>
      </c>
      <c r="J21">
        <f>SUBTOTAL(109,Table1[Order Qty])</f>
        <v>50</v>
      </c>
      <c r="K21" s="4">
        <f>SUBTOTAL(109,Table1[Total Price])</f>
        <v>40.92</v>
      </c>
      <c r="M21" s="2">
        <f>SUBTOTAL(103,Table1[Column1])</f>
        <v>19</v>
      </c>
    </row>
  </sheetData>
  <pageMargins left="0.7" right="0.7" top="0.75" bottom="0.75" header="0.3" footer="0.3"/>
  <ignoredErrors>
    <ignoredError sqref="K2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892A-5C6D-48A2-86FB-A32F7FCA4171}">
  <dimension ref="A1:N12"/>
  <sheetViews>
    <sheetView workbookViewId="0">
      <selection activeCell="E19" sqref="E19"/>
    </sheetView>
  </sheetViews>
  <sheetFormatPr defaultRowHeight="14.4" x14ac:dyDescent="0.3"/>
  <cols>
    <col min="1" max="1" width="3" bestFit="1" customWidth="1"/>
    <col min="2" max="2" width="11.21875" customWidth="1"/>
    <col min="3" max="3" width="18.88671875" bestFit="1" customWidth="1"/>
    <col min="4" max="4" width="25.33203125" customWidth="1"/>
    <col min="7" max="7" width="9.44140625" customWidth="1"/>
    <col min="9" max="9" width="8.77734375" customWidth="1"/>
    <col min="10" max="10" width="10.21875" customWidth="1"/>
    <col min="11" max="11" width="9.33203125" customWidth="1"/>
    <col min="12" max="12" width="10.5546875" customWidth="1"/>
    <col min="13" max="13" width="13" customWidth="1"/>
    <col min="14" max="14" width="2.109375" customWidth="1"/>
  </cols>
  <sheetData>
    <row r="1" spans="1:14" x14ac:dyDescent="0.3">
      <c r="A1" t="s">
        <v>104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142</v>
      </c>
      <c r="L1" t="s">
        <v>139</v>
      </c>
      <c r="M1" t="s">
        <v>105</v>
      </c>
      <c r="N1" s="3" t="s">
        <v>140</v>
      </c>
    </row>
    <row r="2" spans="1:14" x14ac:dyDescent="0.3">
      <c r="A2">
        <v>1</v>
      </c>
      <c r="B2" t="s">
        <v>106</v>
      </c>
      <c r="C2" t="s">
        <v>21</v>
      </c>
      <c r="D2" t="s">
        <v>22</v>
      </c>
      <c r="E2" t="s">
        <v>13</v>
      </c>
      <c r="F2" t="s">
        <v>23</v>
      </c>
      <c r="G2">
        <v>4072044</v>
      </c>
      <c r="H2" s="4">
        <v>0.12</v>
      </c>
      <c r="I2">
        <v>2</v>
      </c>
      <c r="J2">
        <v>5</v>
      </c>
      <c r="K2">
        <f>IF(Table2[[#This Row],[Qty]]&gt;Table2[[#This Row],[Min Qty]],Table2[[#This Row],[Qty]],Table2[[#This Row],[Min Qty]])</f>
        <v>5</v>
      </c>
      <c r="L2" s="4">
        <f>Table2[[#This Row],[Price Per]]*Table2[[#This Row],[Order Qty]]</f>
        <v>0.6</v>
      </c>
      <c r="M2" t="s">
        <v>24</v>
      </c>
      <c r="N2" s="2" t="s">
        <v>143</v>
      </c>
    </row>
    <row r="3" spans="1:14" x14ac:dyDescent="0.3">
      <c r="A3">
        <v>2</v>
      </c>
      <c r="B3" t="s">
        <v>107</v>
      </c>
      <c r="C3" t="s">
        <v>108</v>
      </c>
      <c r="D3" t="s">
        <v>109</v>
      </c>
      <c r="E3" t="s">
        <v>13</v>
      </c>
      <c r="F3" t="s">
        <v>110</v>
      </c>
      <c r="G3">
        <v>4220281</v>
      </c>
      <c r="H3" s="4">
        <v>0.39</v>
      </c>
      <c r="I3">
        <v>1</v>
      </c>
      <c r="J3">
        <v>5</v>
      </c>
      <c r="K3">
        <f>IF(Table2[[#This Row],[Qty]]&gt;Table2[[#This Row],[Min Qty]],Table2[[#This Row],[Qty]],Table2[[#This Row],[Min Qty]])</f>
        <v>5</v>
      </c>
      <c r="L3" s="4">
        <f>Table2[[#This Row],[Price Per]]*Table2[[#This Row],[Order Qty]]</f>
        <v>1.9500000000000002</v>
      </c>
      <c r="M3" t="s">
        <v>111</v>
      </c>
      <c r="N3" s="2" t="s">
        <v>143</v>
      </c>
    </row>
    <row r="4" spans="1:14" x14ac:dyDescent="0.3">
      <c r="A4">
        <v>3</v>
      </c>
      <c r="B4" t="s">
        <v>112</v>
      </c>
      <c r="C4" t="s">
        <v>113</v>
      </c>
      <c r="D4" t="s">
        <v>114</v>
      </c>
      <c r="E4" t="s">
        <v>13</v>
      </c>
      <c r="F4" t="s">
        <v>115</v>
      </c>
      <c r="G4">
        <v>2499130</v>
      </c>
      <c r="H4" s="4">
        <v>0.76</v>
      </c>
      <c r="I4">
        <v>1</v>
      </c>
      <c r="J4">
        <v>1</v>
      </c>
      <c r="K4">
        <f>IF(Table2[[#This Row],[Qty]]&gt;Table2[[#This Row],[Min Qty]],Table2[[#This Row],[Qty]],Table2[[#This Row],[Min Qty]])</f>
        <v>1</v>
      </c>
      <c r="L4" s="4">
        <f>Table2[[#This Row],[Price Per]]*Table2[[#This Row],[Order Qty]]</f>
        <v>0.76</v>
      </c>
      <c r="M4" t="s">
        <v>116</v>
      </c>
      <c r="N4" s="2" t="s">
        <v>143</v>
      </c>
    </row>
    <row r="5" spans="1:14" x14ac:dyDescent="0.3">
      <c r="A5">
        <v>4</v>
      </c>
      <c r="B5" t="s">
        <v>117</v>
      </c>
      <c r="C5" t="s">
        <v>118</v>
      </c>
      <c r="D5" t="s">
        <v>119</v>
      </c>
      <c r="E5" t="s">
        <v>13</v>
      </c>
      <c r="F5" t="s">
        <v>118</v>
      </c>
      <c r="G5">
        <v>3365016</v>
      </c>
      <c r="H5" s="4">
        <v>0.84</v>
      </c>
      <c r="I5">
        <v>3</v>
      </c>
      <c r="J5">
        <v>10</v>
      </c>
      <c r="K5">
        <f>IF(Table2[[#This Row],[Qty]]&gt;Table2[[#This Row],[Min Qty]],Table2[[#This Row],[Qty]],Table2[[#This Row],[Min Qty]])</f>
        <v>10</v>
      </c>
      <c r="L5" s="4">
        <f>Table2[[#This Row],[Price Per]]*Table2[[#This Row],[Order Qty]]</f>
        <v>8.4</v>
      </c>
      <c r="M5" t="s">
        <v>120</v>
      </c>
      <c r="N5" s="2" t="s">
        <v>143</v>
      </c>
    </row>
    <row r="6" spans="1:14" x14ac:dyDescent="0.3">
      <c r="A6">
        <v>5</v>
      </c>
      <c r="B6" t="s">
        <v>121</v>
      </c>
      <c r="C6" t="s">
        <v>122</v>
      </c>
      <c r="D6" t="s">
        <v>123</v>
      </c>
      <c r="E6" t="s">
        <v>13</v>
      </c>
      <c r="F6" t="s">
        <v>124</v>
      </c>
      <c r="G6">
        <v>1688345</v>
      </c>
      <c r="H6" s="4">
        <v>0.6</v>
      </c>
      <c r="I6">
        <v>2</v>
      </c>
      <c r="J6">
        <v>10</v>
      </c>
      <c r="K6">
        <f>IF(Table2[[#This Row],[Qty]]&gt;Table2[[#This Row],[Min Qty]],Table2[[#This Row],[Qty]],Table2[[#This Row],[Min Qty]])</f>
        <v>10</v>
      </c>
      <c r="L6" s="4">
        <f>Table2[[#This Row],[Price Per]]*Table2[[#This Row],[Order Qty]]</f>
        <v>6</v>
      </c>
      <c r="M6" t="s">
        <v>11</v>
      </c>
      <c r="N6" s="2" t="s">
        <v>143</v>
      </c>
    </row>
    <row r="7" spans="1:14" x14ac:dyDescent="0.3">
      <c r="A7">
        <v>6</v>
      </c>
      <c r="B7" t="s">
        <v>54</v>
      </c>
      <c r="C7" t="s">
        <v>60</v>
      </c>
      <c r="D7" t="s">
        <v>125</v>
      </c>
      <c r="E7" t="s">
        <v>13</v>
      </c>
      <c r="F7" t="s">
        <v>62</v>
      </c>
      <c r="G7">
        <v>3796306</v>
      </c>
      <c r="H7" s="4">
        <v>0.13</v>
      </c>
      <c r="I7">
        <v>1</v>
      </c>
      <c r="J7">
        <v>5</v>
      </c>
      <c r="K7">
        <f>IF(Table2[[#This Row],[Qty]]&gt;Table2[[#This Row],[Min Qty]],Table2[[#This Row],[Qty]],Table2[[#This Row],[Min Qty]])</f>
        <v>5</v>
      </c>
      <c r="L7" s="4">
        <f>Table2[[#This Row],[Price Per]]*Table2[[#This Row],[Order Qty]]</f>
        <v>0.65</v>
      </c>
      <c r="M7" t="s">
        <v>11</v>
      </c>
      <c r="N7" s="2" t="s">
        <v>143</v>
      </c>
    </row>
    <row r="8" spans="1:14" x14ac:dyDescent="0.3">
      <c r="A8">
        <v>7</v>
      </c>
      <c r="B8" t="s">
        <v>126</v>
      </c>
      <c r="C8" t="s">
        <v>127</v>
      </c>
      <c r="D8" t="s">
        <v>128</v>
      </c>
      <c r="E8" t="s">
        <v>13</v>
      </c>
      <c r="F8" t="s">
        <v>11</v>
      </c>
      <c r="G8" t="s">
        <v>11</v>
      </c>
      <c r="H8" s="4" t="s">
        <v>11</v>
      </c>
      <c r="I8">
        <v>1</v>
      </c>
      <c r="J8" t="s">
        <v>11</v>
      </c>
      <c r="K8" t="str">
        <f>IF(Table2[[#This Row],[Qty]]&gt;Table2[[#This Row],[Min Qty]],Table2[[#This Row],[Qty]],Table2[[#This Row],[Min Qty]])</f>
        <v>~</v>
      </c>
      <c r="L8" s="4"/>
      <c r="M8" t="s">
        <v>129</v>
      </c>
      <c r="N8" s="2" t="s">
        <v>143</v>
      </c>
    </row>
    <row r="9" spans="1:14" x14ac:dyDescent="0.3">
      <c r="A9">
        <v>8</v>
      </c>
      <c r="B9" t="s">
        <v>64</v>
      </c>
      <c r="C9" t="s">
        <v>71</v>
      </c>
      <c r="D9" t="s">
        <v>72</v>
      </c>
      <c r="E9" t="s">
        <v>13</v>
      </c>
      <c r="F9" t="s">
        <v>73</v>
      </c>
      <c r="G9">
        <v>2534283</v>
      </c>
      <c r="H9" s="4">
        <v>1.91</v>
      </c>
      <c r="I9">
        <v>1</v>
      </c>
      <c r="J9">
        <v>5</v>
      </c>
      <c r="K9">
        <f>IF(Table2[[#This Row],[Qty]]&gt;Table2[[#This Row],[Min Qty]],Table2[[#This Row],[Qty]],Table2[[#This Row],[Min Qty]])</f>
        <v>5</v>
      </c>
      <c r="L9" s="4">
        <f>Table2[[#This Row],[Price Per]]*Table2[[#This Row],[Order Qty]]</f>
        <v>9.5499999999999989</v>
      </c>
      <c r="M9" t="s">
        <v>74</v>
      </c>
      <c r="N9" s="2" t="s">
        <v>143</v>
      </c>
    </row>
    <row r="10" spans="1:14" x14ac:dyDescent="0.3">
      <c r="A10">
        <v>9</v>
      </c>
      <c r="B10" t="s">
        <v>65</v>
      </c>
      <c r="C10" t="s">
        <v>130</v>
      </c>
      <c r="D10" t="s">
        <v>131</v>
      </c>
      <c r="E10" t="s">
        <v>13</v>
      </c>
      <c r="F10" t="s">
        <v>132</v>
      </c>
      <c r="G10">
        <v>4137626</v>
      </c>
      <c r="H10" s="4">
        <v>0.96</v>
      </c>
      <c r="I10">
        <v>1</v>
      </c>
      <c r="J10">
        <v>1</v>
      </c>
      <c r="K10">
        <f>IF(Table2[[#This Row],[Qty]]&gt;Table2[[#This Row],[Min Qty]],Table2[[#This Row],[Qty]],Table2[[#This Row],[Min Qty]])</f>
        <v>1</v>
      </c>
      <c r="L10" s="4">
        <f>Table2[[#This Row],[Price Per]]*Table2[[#This Row],[Order Qty]]</f>
        <v>0.96</v>
      </c>
      <c r="M10" t="s">
        <v>133</v>
      </c>
      <c r="N10" s="2" t="s">
        <v>143</v>
      </c>
    </row>
    <row r="11" spans="1:14" x14ac:dyDescent="0.3">
      <c r="A11">
        <v>10</v>
      </c>
      <c r="B11" t="s">
        <v>134</v>
      </c>
      <c r="C11" t="s">
        <v>135</v>
      </c>
      <c r="D11" t="s">
        <v>136</v>
      </c>
      <c r="E11" t="s">
        <v>13</v>
      </c>
      <c r="F11" t="s">
        <v>137</v>
      </c>
      <c r="G11">
        <v>2857615</v>
      </c>
      <c r="H11" s="4">
        <v>2.2799999999999998</v>
      </c>
      <c r="I11">
        <v>2</v>
      </c>
      <c r="J11">
        <v>1</v>
      </c>
      <c r="K11">
        <f>IF(Table2[[#This Row],[Qty]]&gt;Table2[[#This Row],[Min Qty]],Table2[[#This Row],[Qty]],Table2[[#This Row],[Min Qty]])</f>
        <v>2</v>
      </c>
      <c r="L11" s="4">
        <f>Table2[[#This Row],[Price Per]]*Table2[[#This Row],[Order Qty]]</f>
        <v>4.5599999999999996</v>
      </c>
      <c r="M11" t="s">
        <v>138</v>
      </c>
      <c r="N11" s="2" t="s">
        <v>143</v>
      </c>
    </row>
    <row r="12" spans="1:14" x14ac:dyDescent="0.3">
      <c r="A12" t="s">
        <v>141</v>
      </c>
      <c r="I12">
        <f>SUBTOTAL(109,Table2[Qty])</f>
        <v>15</v>
      </c>
      <c r="K12">
        <f>SUBTOTAL(109,Table2[Order Qty])</f>
        <v>44</v>
      </c>
      <c r="L12" s="4">
        <f>SUBTOTAL(109,Table2[Total Price])</f>
        <v>33.43</v>
      </c>
      <c r="N12" s="2">
        <f>SUBTOTAL(103,Table2[Column1])</f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Joint_BOM_farnell</vt:lpstr>
      <vt:lpstr>COMET1_CCT_BOM_farnell</vt:lpstr>
      <vt:lpstr>COMET1_PWR_BOM_farnell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Wilson (ew8g21)</cp:lastModifiedBy>
  <dcterms:created xsi:type="dcterms:W3CDTF">2026-01-04T21:05:38Z</dcterms:created>
  <dcterms:modified xsi:type="dcterms:W3CDTF">2026-01-04T21:45:55Z</dcterms:modified>
</cp:coreProperties>
</file>